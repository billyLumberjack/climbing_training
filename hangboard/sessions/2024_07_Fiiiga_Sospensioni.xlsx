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Sospension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6" fillId="7" borderId="35" applyAlignment="1" pivotButton="0" quotePrefix="0" xfId="0">
      <alignment horizontal="center" vertical="center"/>
    </xf>
    <xf numFmtId="0" fontId="26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7" fillId="7" borderId="1" applyAlignment="1" pivotButton="0" quotePrefix="0" xfId="3">
      <alignment vertical="center"/>
    </xf>
    <xf numFmtId="0" fontId="0" fillId="0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0" fontId="37" fillId="17" borderId="0" applyAlignment="1" pivotButton="0" quotePrefix="0" xfId="0">
      <alignment horizontal="left" vertical="top"/>
    </xf>
    <xf numFmtId="0" fontId="38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0" borderId="0" applyAlignment="1" pivotButton="0" quotePrefix="0" xfId="0">
      <alignment horizontal="center" vertical="top"/>
    </xf>
    <xf numFmtId="0" fontId="0" fillId="19" borderId="17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20" borderId="17" applyAlignment="1" pivotButton="0" quotePrefix="0" xfId="0">
      <alignment horizontal="center" vertical="center" wrapText="1"/>
    </xf>
    <xf numFmtId="14" fontId="0" fillId="0" borderId="0" applyAlignment="1" pivotButton="0" quotePrefix="1" xfId="0">
      <alignment horizontal="left" vertical="top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0" borderId="35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1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234995</colOff>
      <row>39</row>
      <rowOff>27709</rowOff>
    </from>
    <to>
      <col>13</col>
      <colOff>247650</colOff>
      <row>39</row>
      <rowOff>477462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7343" b="26651"/>
        <a:stretch xmlns:a="http://schemas.openxmlformats.org/drawingml/2006/main">
          <a:fillRect/>
        </a:stretch>
      </blipFill>
      <spPr>
        <a:xfrm xmlns:a="http://schemas.openxmlformats.org/drawingml/2006/main">
          <a:off x="5215704" y="7474527"/>
          <a:ext cx="1297318" cy="4364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217850</colOff>
      <row>78</row>
      <rowOff>20782</rowOff>
    </from>
    <to>
      <col>13</col>
      <colOff>207645</colOff>
      <row>78</row>
      <rowOff>474865</rowOff>
    </to>
    <pic>
      <nvPicPr>
        <cNvPr id="8" name="Immagine 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4959" b="27026"/>
        <a:stretch xmlns:a="http://schemas.openxmlformats.org/drawingml/2006/main">
          <a:fillRect/>
        </a:stretch>
      </blipFill>
      <spPr>
        <a:xfrm xmlns:a="http://schemas.openxmlformats.org/drawingml/2006/main">
          <a:off x="5198559" y="14706600"/>
          <a:ext cx="1282078" cy="4502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/>
  </sheetPr>
  <dimension ref="C3:AI107"/>
  <sheetViews>
    <sheetView topLeftCell="A48" zoomScale="85" zoomScaleNormal="85" workbookViewId="0">
      <selection activeCell="E65" sqref="E65:H65"/>
    </sheetView>
  </sheetViews>
  <sheetFormatPr baseColWidth="8" defaultRowHeight="15"/>
  <cols>
    <col width="4" customWidth="1" min="3" max="3"/>
    <col width="25.7109375" bestFit="1" customWidth="1" min="4" max="4"/>
    <col width="6.28515625" customWidth="1" min="5" max="8"/>
    <col hidden="1" outlineLevel="1" width="6.28515625" customWidth="1" min="9" max="9"/>
    <col hidden="1" outlineLevel="1" width="8.7109375" customWidth="1" min="10" max="10"/>
    <col collapsed="1" width="6.28515625" customWidth="1" min="11" max="11"/>
    <col width="6.28515625" customWidth="1" min="12" max="14"/>
    <col hidden="1" outlineLevel="1" width="6.28515625" customWidth="1" min="15" max="16"/>
    <col collapsed="1" width="6.28515625" customWidth="1" min="17" max="17"/>
    <col width="6.28515625" customWidth="1" min="18" max="20"/>
    <col hidden="1" outlineLevel="1" width="6.28515625" customWidth="1" min="21" max="22"/>
    <col collapsed="1" width="6.28515625" customWidth="1" min="23" max="23"/>
    <col width="6.28515625" customWidth="1" min="24" max="26"/>
    <col hidden="1" outlineLevel="1" width="6.28515625" customWidth="1" min="27" max="28"/>
    <col collapsed="1" width="4.85546875" customWidth="1" min="29" max="29"/>
    <col width="4.85546875" customWidth="1" min="30" max="32"/>
    <col width="22.85546875" customWidth="1" min="33" max="33"/>
    <col width="4.85546875" bestFit="1" customWidth="1" min="34" max="34"/>
    <col width="4.28515625" bestFit="1" customWidth="1" min="35" max="35"/>
    <col width="3.5703125" customWidth="1" min="36" max="36"/>
    <col width="17.28515625" bestFit="1" customWidth="1" min="37" max="37"/>
    <col width="4.7109375" customWidth="1" min="38" max="53"/>
    <col width="3.140625" customWidth="1" min="54" max="54"/>
  </cols>
  <sheetData>
    <row r="3" hidden="1" ht="16.5" customHeight="1" thickBot="1">
      <c r="C3" s="25" t="inlineStr">
        <is>
          <t>WEEK 1-4</t>
        </is>
      </c>
      <c r="D3" s="26" t="n"/>
      <c r="G3" s="27" t="n"/>
      <c r="H3" s="27" t="n"/>
      <c r="I3" s="141" t="n"/>
      <c r="J3" s="141" t="n"/>
      <c r="L3" s="326" t="inlineStr">
        <is>
          <t>ESTATE 2024</t>
        </is>
      </c>
      <c r="M3" s="9" t="n"/>
      <c r="N3" s="28" t="n"/>
      <c r="O3" s="28" t="n"/>
      <c r="P3" s="28" t="n"/>
      <c r="Q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338" t="inlineStr">
        <is>
          <t>SAMUELE MALAVASI</t>
        </is>
      </c>
      <c r="AG3" s="42" t="n"/>
      <c r="AH3" s="42" t="n"/>
      <c r="AI3" s="42" t="n"/>
    </row>
    <row r="4" hidden="1" ht="40.15" customHeight="1" thickBot="1" thickTop="1">
      <c r="C4" s="317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AA4" s="185" t="n"/>
      <c r="AB4" s="185" t="n"/>
      <c r="AC4" s="186" t="inlineStr">
        <is>
          <t xml:space="preserve">S M </t>
        </is>
      </c>
      <c r="AD4" s="7" t="n"/>
      <c r="AG4" s="44" t="n"/>
      <c r="AH4" s="44" t="n"/>
      <c r="AI4" s="44" t="n"/>
    </row>
    <row r="5" hidden="1" ht="18.6" customHeight="1" thickBot="1" thickTop="1">
      <c r="C5" s="361" t="inlineStr">
        <is>
          <t>2024_06_SOSPENSIONI</t>
        </is>
      </c>
      <c r="D5" s="360" t="n"/>
      <c r="E5" s="360" t="n"/>
      <c r="F5" s="360" t="n"/>
      <c r="G5" s="360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360" t="n"/>
      <c r="S5" s="360" t="n"/>
      <c r="T5" s="360" t="n"/>
      <c r="U5" s="360" t="n"/>
      <c r="V5" s="360" t="n"/>
      <c r="W5" s="360" t="n"/>
      <c r="X5" s="360" t="n"/>
      <c r="Y5" s="360" t="n"/>
      <c r="Z5" s="360" t="n"/>
      <c r="AA5" s="360" t="n"/>
      <c r="AB5" s="360" t="n"/>
      <c r="AC5" s="362" t="n"/>
    </row>
    <row r="6" hidden="1" ht="14.45" customHeight="1" thickTop="1">
      <c r="C6" s="75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7" t="n"/>
      <c r="AG6" s="42" t="n"/>
      <c r="AH6" s="42" t="n"/>
      <c r="AI6" s="42" t="n"/>
    </row>
    <row r="7" hidden="1" ht="15.75" customHeight="1">
      <c r="C7" s="78" t="n"/>
      <c r="D7" s="25" t="inlineStr">
        <is>
          <t>FORZA</t>
        </is>
      </c>
      <c r="E7" s="315" t="inlineStr">
        <is>
          <t>Wk 1</t>
        </is>
      </c>
      <c r="H7" s="363" t="n"/>
      <c r="I7" s="315" t="n"/>
      <c r="J7" s="315" t="n"/>
      <c r="K7" s="315" t="inlineStr">
        <is>
          <t>Wk 2</t>
        </is>
      </c>
      <c r="N7" s="363" t="n"/>
      <c r="O7" s="315" t="n"/>
      <c r="P7" s="315" t="n"/>
      <c r="Q7" s="315" t="inlineStr">
        <is>
          <t>Wk 3</t>
        </is>
      </c>
      <c r="T7" s="363" t="n"/>
      <c r="U7" s="315" t="n"/>
      <c r="V7" s="315" t="n"/>
      <c r="W7" s="315" t="inlineStr">
        <is>
          <t>Wk 4</t>
        </is>
      </c>
      <c r="Z7" s="363" t="n"/>
      <c r="AA7" s="314" t="n"/>
      <c r="AB7" s="314" t="n"/>
      <c r="AC7" s="33" t="n"/>
    </row>
    <row r="8" hidden="1" ht="15.75" customHeight="1">
      <c r="C8" s="78" t="n"/>
      <c r="D8" s="74" t="inlineStr">
        <is>
          <t>Esercizio</t>
        </is>
      </c>
      <c r="E8" s="95" t="inlineStr">
        <is>
          <t>TEMPO</t>
        </is>
      </c>
      <c r="F8" s="34" t="inlineStr">
        <is>
          <t>REP</t>
        </is>
      </c>
      <c r="G8" s="95" t="inlineStr">
        <is>
          <t>SET</t>
        </is>
      </c>
      <c r="H8" s="73" t="inlineStr">
        <is>
          <t>CARICO</t>
        </is>
      </c>
      <c r="I8" s="140" t="inlineStr">
        <is>
          <t>Rest</t>
        </is>
      </c>
      <c r="J8" s="140" t="inlineStr">
        <is>
          <t>TUT es</t>
        </is>
      </c>
      <c r="K8" s="95" t="inlineStr">
        <is>
          <t>TEMPO</t>
        </is>
      </c>
      <c r="L8" s="34" t="inlineStr">
        <is>
          <t>REP</t>
        </is>
      </c>
      <c r="M8" s="95" t="inlineStr">
        <is>
          <t>SET</t>
        </is>
      </c>
      <c r="N8" s="73" t="inlineStr">
        <is>
          <t>CARICO</t>
        </is>
      </c>
      <c r="O8" s="140" t="inlineStr">
        <is>
          <t>Rest</t>
        </is>
      </c>
      <c r="P8" s="140" t="inlineStr">
        <is>
          <t>TUT es</t>
        </is>
      </c>
      <c r="Q8" s="95" t="inlineStr">
        <is>
          <t>TEMPO</t>
        </is>
      </c>
      <c r="R8" s="34" t="inlineStr">
        <is>
          <t>REP</t>
        </is>
      </c>
      <c r="S8" s="95" t="inlineStr">
        <is>
          <t>SET</t>
        </is>
      </c>
      <c r="T8" s="73" t="inlineStr">
        <is>
          <t>CARICO</t>
        </is>
      </c>
      <c r="U8" s="140" t="inlineStr">
        <is>
          <t>Rest</t>
        </is>
      </c>
      <c r="V8" s="140" t="inlineStr">
        <is>
          <t>TUT es</t>
        </is>
      </c>
      <c r="W8" s="95" t="inlineStr">
        <is>
          <t>TEMPO</t>
        </is>
      </c>
      <c r="X8" s="34" t="inlineStr">
        <is>
          <t>REP</t>
        </is>
      </c>
      <c r="Y8" s="95" t="inlineStr">
        <is>
          <t>SET</t>
        </is>
      </c>
      <c r="Z8" s="73" t="inlineStr">
        <is>
          <t>CARICO</t>
        </is>
      </c>
      <c r="AA8" s="140" t="inlineStr">
        <is>
          <t>Rest</t>
        </is>
      </c>
      <c r="AB8" s="140" t="inlineStr">
        <is>
          <t>TUT es</t>
        </is>
      </c>
      <c r="AC8" s="33" t="n"/>
    </row>
    <row r="9" hidden="1" ht="16.15" customHeight="1">
      <c r="C9" s="78" t="n"/>
      <c r="D9" s="79" t="inlineStr">
        <is>
          <t>Stacco da terra 20mm</t>
        </is>
      </c>
      <c r="E9" s="94" t="inlineStr">
        <is>
          <t>X</t>
        </is>
      </c>
      <c r="F9" s="35" t="n">
        <v>1</v>
      </c>
      <c r="G9" s="94" t="n">
        <v>1</v>
      </c>
      <c r="H9" s="243" t="inlineStr">
        <is>
          <t>RPE6</t>
        </is>
      </c>
      <c r="I9" s="306" t="n"/>
      <c r="J9" s="306">
        <f>(E9*F9)+(F9*I9)</f>
        <v/>
      </c>
      <c r="K9" s="94" t="inlineStr">
        <is>
          <t>X</t>
        </is>
      </c>
      <c r="L9" s="35" t="n">
        <v>1</v>
      </c>
      <c r="M9" s="94" t="n">
        <v>1</v>
      </c>
      <c r="N9" s="243" t="inlineStr">
        <is>
          <t>RPE7</t>
        </is>
      </c>
      <c r="O9">
        <f>$I9</f>
        <v/>
      </c>
      <c r="P9" s="306">
        <f>(K9*L9)+(L9*O9)</f>
        <v/>
      </c>
      <c r="Q9" s="94" t="inlineStr">
        <is>
          <t>X</t>
        </is>
      </c>
      <c r="R9" s="35" t="n">
        <v>1</v>
      </c>
      <c r="S9" s="94" t="n">
        <v>1</v>
      </c>
      <c r="T9" s="243" t="inlineStr">
        <is>
          <t>RPE8</t>
        </is>
      </c>
      <c r="U9">
        <f>$I9</f>
        <v/>
      </c>
      <c r="V9" s="306">
        <f>(Q9*R9)+(R9*U9)</f>
        <v/>
      </c>
      <c r="W9" s="94" t="inlineStr">
        <is>
          <t>Test 8RM</t>
        </is>
      </c>
      <c r="X9" s="35" t="inlineStr">
        <is>
          <t>AMRAP</t>
        </is>
      </c>
      <c r="Y9" s="94" t="n">
        <v>1</v>
      </c>
      <c r="Z9" s="243" t="n">
        <v>39</v>
      </c>
      <c r="AA9">
        <f>$I9</f>
        <v/>
      </c>
      <c r="AB9" s="306">
        <f>(W9*X9)+(X9*AA9)</f>
        <v/>
      </c>
      <c r="AC9" s="33" t="n"/>
      <c r="AD9" s="25" t="n"/>
      <c r="AE9" s="25" t="n"/>
      <c r="AF9" s="25" t="n"/>
    </row>
    <row r="10" hidden="1" ht="16.15" customHeight="1">
      <c r="C10" s="78" t="n"/>
      <c r="D10" s="79" t="n"/>
      <c r="E10" s="94" t="inlineStr">
        <is>
          <t>X</t>
        </is>
      </c>
      <c r="F10" s="35" t="n">
        <v>5</v>
      </c>
      <c r="G10" s="94" t="n">
        <v>3</v>
      </c>
      <c r="H10" s="243" t="inlineStr">
        <is>
          <t>75-80%</t>
        </is>
      </c>
      <c r="I10" s="306" t="n"/>
      <c r="J10" s="306" t="n"/>
      <c r="K10" s="94" t="inlineStr">
        <is>
          <t>X</t>
        </is>
      </c>
      <c r="L10" s="35" t="n">
        <v>6</v>
      </c>
      <c r="M10" s="94" t="n">
        <v>3</v>
      </c>
      <c r="N10" s="243" t="inlineStr">
        <is>
          <t>75-80%</t>
        </is>
      </c>
      <c r="P10" s="306" t="n"/>
      <c r="Q10" s="94" t="inlineStr">
        <is>
          <t>X</t>
        </is>
      </c>
      <c r="R10" s="35" t="n">
        <v>7</v>
      </c>
      <c r="S10" s="94" t="n">
        <v>3</v>
      </c>
      <c r="T10" s="243" t="inlineStr">
        <is>
          <t>75-80%</t>
        </is>
      </c>
      <c r="V10" s="306" t="n"/>
      <c r="W10" s="94" t="n"/>
      <c r="X10" s="35" t="n"/>
      <c r="Y10" s="94" t="n"/>
      <c r="Z10" s="148" t="n"/>
      <c r="AB10" s="306" t="n"/>
      <c r="AC10" s="33" t="n"/>
      <c r="AD10" s="25" t="n"/>
      <c r="AE10" s="25" t="n"/>
      <c r="AF10" s="25" t="n"/>
    </row>
    <row r="11" hidden="1" ht="15.75" customHeight="1">
      <c r="C11" s="78" t="n"/>
      <c r="D11" s="144" t="inlineStr">
        <is>
          <t>Sospensioni 3 dita stese</t>
        </is>
      </c>
      <c r="E11" s="145" t="n">
        <v>4</v>
      </c>
      <c r="F11" s="145" t="n">
        <v>4</v>
      </c>
      <c r="G11" s="145" t="n">
        <v>2</v>
      </c>
      <c r="H11" s="151" t="n"/>
      <c r="I11" s="147" t="n"/>
      <c r="J11" s="147">
        <f>(E11*F11)+(F11*I11)</f>
        <v/>
      </c>
      <c r="K11" s="145" t="n">
        <v>4</v>
      </c>
      <c r="L11" s="145" t="n">
        <v>4</v>
      </c>
      <c r="M11" s="145" t="n">
        <v>3</v>
      </c>
      <c r="N11" s="151" t="n"/>
      <c r="O11" s="150">
        <f>$I11</f>
        <v/>
      </c>
      <c r="P11" s="147">
        <f>(K11*L11)+(L11*O11)</f>
        <v/>
      </c>
      <c r="Q11" s="145" t="n">
        <v>4</v>
      </c>
      <c r="R11" s="145" t="n">
        <v>4</v>
      </c>
      <c r="S11" s="145" t="n">
        <v>3</v>
      </c>
      <c r="T11" s="151" t="n"/>
      <c r="U11" s="150">
        <f>$I11</f>
        <v/>
      </c>
      <c r="V11" s="147">
        <f>(Q11*R11)+(R11*U11)</f>
        <v/>
      </c>
      <c r="W11" s="145" t="n">
        <v>4</v>
      </c>
      <c r="X11" s="145" t="n">
        <v>4</v>
      </c>
      <c r="Y11" s="145" t="n">
        <v>2</v>
      </c>
      <c r="Z11" s="151" t="n"/>
      <c r="AA11" s="150">
        <f>$I11</f>
        <v/>
      </c>
      <c r="AB11" s="147">
        <f>(W11*X11)+(X11*AA11)</f>
        <v/>
      </c>
      <c r="AC11" s="33" t="n"/>
      <c r="AD11" s="7" t="n"/>
    </row>
    <row r="12" hidden="1" ht="15.75" customHeight="1">
      <c r="C12" s="78" t="n"/>
      <c r="D12" s="79" t="inlineStr">
        <is>
          <t>Sospensioni svase</t>
        </is>
      </c>
      <c r="E12" s="306" t="n">
        <v>5</v>
      </c>
      <c r="F12" s="94" t="n">
        <v>3</v>
      </c>
      <c r="G12" s="94" t="n">
        <v>2</v>
      </c>
      <c r="H12" s="148" t="n"/>
      <c r="I12" s="306" t="n"/>
      <c r="J12" s="306">
        <f>(E12*F12)+(F12*I12)</f>
        <v/>
      </c>
      <c r="K12" s="306" t="n">
        <v>5</v>
      </c>
      <c r="L12" s="94" t="n">
        <v>3</v>
      </c>
      <c r="M12" s="94" t="n">
        <v>3</v>
      </c>
      <c r="N12" s="148" t="n"/>
      <c r="O12">
        <f>$I12</f>
        <v/>
      </c>
      <c r="P12" s="306">
        <f>(K12*L12)+(L12*O12)</f>
        <v/>
      </c>
      <c r="Q12" s="306" t="n">
        <v>5</v>
      </c>
      <c r="R12" s="94" t="n">
        <v>3</v>
      </c>
      <c r="S12" s="94" t="n">
        <v>3</v>
      </c>
      <c r="T12" s="148" t="n"/>
      <c r="U12">
        <f>$I12</f>
        <v/>
      </c>
      <c r="V12" s="306">
        <f>(Q12*R12)+(R12*U12)</f>
        <v/>
      </c>
      <c r="W12" s="306" t="n">
        <v>5</v>
      </c>
      <c r="X12" s="94" t="n">
        <v>3</v>
      </c>
      <c r="Y12" s="94" t="n">
        <v>2</v>
      </c>
      <c r="Z12" s="148" t="n"/>
      <c r="AA12">
        <f>$I12</f>
        <v/>
      </c>
      <c r="AB12" s="306">
        <f>(W12*X12)+(X12*AA12)</f>
        <v/>
      </c>
      <c r="AC12" s="33" t="n"/>
    </row>
    <row r="13" hidden="1" ht="15.75" customHeight="1">
      <c r="C13" s="78" t="n"/>
      <c r="D13" s="144" t="inlineStr">
        <is>
          <t>Sospensione due mani 20mm</t>
        </is>
      </c>
      <c r="E13" s="178" t="inlineStr">
        <is>
          <t>AMRAP</t>
        </is>
      </c>
      <c r="F13" s="145" t="n">
        <v>1</v>
      </c>
      <c r="G13" s="145" t="n">
        <v>1</v>
      </c>
      <c r="H13" s="146" t="n">
        <v>25</v>
      </c>
      <c r="I13" s="147" t="n"/>
      <c r="J13" s="147" t="n"/>
      <c r="K13" s="178" t="inlineStr">
        <is>
          <t>AMRAP</t>
        </is>
      </c>
      <c r="L13" s="145" t="n">
        <v>1</v>
      </c>
      <c r="M13" s="145" t="n">
        <v>1</v>
      </c>
      <c r="N13" s="146" t="n">
        <v>25</v>
      </c>
      <c r="O13" s="147" t="n"/>
      <c r="P13" s="147" t="n"/>
      <c r="Q13" s="178" t="inlineStr">
        <is>
          <t>AMRAP</t>
        </is>
      </c>
      <c r="R13" s="145" t="n">
        <v>1</v>
      </c>
      <c r="S13" s="145" t="n">
        <v>1</v>
      </c>
      <c r="T13" s="146" t="n">
        <v>25</v>
      </c>
      <c r="U13" s="147" t="n"/>
      <c r="V13" s="147" t="n"/>
      <c r="W13" s="178" t="inlineStr">
        <is>
          <t>AMRAP</t>
        </is>
      </c>
      <c r="X13" s="145" t="n">
        <v>1</v>
      </c>
      <c r="Y13" s="145" t="n">
        <v>1</v>
      </c>
      <c r="Z13" s="146" t="n">
        <v>25</v>
      </c>
      <c r="AA13" s="147" t="n"/>
      <c r="AB13" s="147" t="n"/>
      <c r="AC13" s="33" t="n"/>
    </row>
    <row r="14" hidden="1" ht="15.75" customHeight="1">
      <c r="C14" s="78" t="n"/>
      <c r="D14" s="80" t="inlineStr">
        <is>
          <t>Volume totale:</t>
        </is>
      </c>
      <c r="E14" s="307">
        <f t="array" ref="E14">SUMPRODUCT((E9:E12*F9:F12)*G9:G12)</f>
        <v/>
      </c>
      <c r="H14" s="364" t="n"/>
      <c r="I14" s="306" t="n"/>
      <c r="J14" s="306" t="n"/>
      <c r="K14" s="307">
        <f t="array" ref="K14">SUMPRODUCT((K9:K12*L9:L12)*M9:M12)</f>
        <v/>
      </c>
      <c r="N14" s="364" t="n"/>
      <c r="O14" s="306" t="n"/>
      <c r="P14" s="306" t="n"/>
      <c r="Q14" s="307">
        <f t="array" ref="Q14">SUMPRODUCT((Q9:Q12*R9:R12)*S9:S12)</f>
        <v/>
      </c>
      <c r="T14" s="364" t="n"/>
      <c r="U14" s="306" t="n"/>
      <c r="V14" s="306" t="n"/>
      <c r="W14" s="307">
        <f t="array" ref="W14">SUMPRODUCT((W9:W12*X9:X12)*Y9:Y12)</f>
        <v/>
      </c>
      <c r="Z14" s="364" t="n"/>
      <c r="AA14" s="306" t="n"/>
      <c r="AB14" s="306" t="n"/>
      <c r="AC14" s="33" t="n"/>
    </row>
    <row r="15" hidden="1" ht="15.6" customHeight="1">
      <c r="C15" s="78" t="n"/>
      <c r="D15" s="80" t="n"/>
      <c r="E15" s="81" t="n"/>
      <c r="F15" s="306" t="n"/>
      <c r="G15" s="306" t="n"/>
      <c r="H15" s="307" t="n"/>
      <c r="I15" s="306" t="n"/>
      <c r="J15" s="306" t="n"/>
      <c r="K15" s="306" t="n"/>
      <c r="L15" s="306" t="n"/>
      <c r="M15" s="306" t="n"/>
      <c r="N15" s="307" t="n"/>
      <c r="O15" s="306" t="n"/>
      <c r="P15" s="306" t="n"/>
      <c r="Q15" s="306" t="n"/>
      <c r="R15" s="306" t="n"/>
      <c r="S15" s="306" t="n"/>
      <c r="T15" s="307" t="n"/>
      <c r="U15" s="306" t="n"/>
      <c r="V15" s="306" t="n"/>
      <c r="W15" s="81" t="n"/>
      <c r="X15" s="306" t="n"/>
      <c r="Y15" s="306" t="n"/>
      <c r="Z15" s="307" t="n"/>
      <c r="AA15" s="306" t="n"/>
      <c r="AB15" s="306" t="n"/>
      <c r="AC15" s="48" t="n"/>
    </row>
    <row r="16" hidden="1" ht="15.6" customHeight="1">
      <c r="C16" s="78" t="n"/>
      <c r="D16" s="80" t="inlineStr">
        <is>
          <t xml:space="preserve">Recupero:  </t>
        </is>
      </c>
      <c r="E16" s="323" t="inlineStr">
        <is>
          <t xml:space="preserve"> Tra le ripetizioni 12"							</t>
        </is>
      </c>
      <c r="H16" s="364" t="n"/>
      <c r="I16" s="308" t="n"/>
      <c r="J16" s="308" t="n"/>
      <c r="K16" s="323" t="inlineStr">
        <is>
          <t xml:space="preserve"> Tra le ripetizioni 12"							</t>
        </is>
      </c>
      <c r="N16" s="364" t="n"/>
      <c r="O16" s="308" t="n"/>
      <c r="P16" s="308" t="n"/>
      <c r="Q16" s="323" t="inlineStr">
        <is>
          <t xml:space="preserve"> Tra le ripetizioni 12"							</t>
        </is>
      </c>
      <c r="T16" s="364" t="n"/>
      <c r="U16" s="308" t="n"/>
      <c r="V16" s="308" t="n"/>
      <c r="W16" s="323" t="inlineStr">
        <is>
          <t xml:space="preserve"> Tra le ripetizioni 12"							</t>
        </is>
      </c>
      <c r="Z16" s="364" t="n"/>
      <c r="AA16" s="322" t="n"/>
      <c r="AB16" s="322" t="n"/>
      <c r="AC16" s="37" t="n"/>
    </row>
    <row r="17" hidden="1" ht="15.6" customHeight="1">
      <c r="C17" s="78" t="n"/>
      <c r="D17" s="80" t="n"/>
      <c r="E17" s="309" t="inlineStr">
        <is>
          <t xml:space="preserve"> Tra le serie 2'+</t>
        </is>
      </c>
      <c r="H17" s="364" t="n"/>
      <c r="I17" s="308" t="n"/>
      <c r="J17" s="308" t="n"/>
      <c r="K17" s="309" t="inlineStr">
        <is>
          <t xml:space="preserve"> Tra le serie 2'+</t>
        </is>
      </c>
      <c r="N17" s="364" t="n"/>
      <c r="O17" s="308" t="n"/>
      <c r="P17" s="308" t="n"/>
      <c r="Q17" s="309" t="inlineStr">
        <is>
          <t xml:space="preserve"> Tra le serie 2'+</t>
        </is>
      </c>
      <c r="T17" s="364" t="n"/>
      <c r="U17" s="308" t="n"/>
      <c r="V17" s="308" t="n"/>
      <c r="W17" s="309" t="inlineStr">
        <is>
          <t xml:space="preserve"> Tra le serie 2'+</t>
        </is>
      </c>
      <c r="Z17" s="364" t="n"/>
      <c r="AA17" s="308" t="n"/>
      <c r="AB17" s="308" t="n"/>
      <c r="AC17" s="37" t="n"/>
    </row>
    <row r="18" hidden="1" ht="15.75" customHeight="1">
      <c r="C18" s="78" t="n"/>
      <c r="D18" s="80" t="n"/>
      <c r="E18" s="308" t="n"/>
      <c r="F18" s="308" t="n"/>
      <c r="G18" s="308" t="n"/>
      <c r="H18" s="308" t="n"/>
      <c r="I18" s="308" t="n"/>
      <c r="J18" s="308" t="n"/>
      <c r="K18" s="308" t="n"/>
      <c r="L18" s="308" t="n"/>
      <c r="M18" s="308" t="n"/>
      <c r="N18" s="308" t="n"/>
      <c r="O18" s="308" t="n"/>
      <c r="P18" s="308" t="n"/>
      <c r="Q18" s="308" t="n"/>
      <c r="R18" s="308" t="n"/>
      <c r="S18" s="308" t="n"/>
      <c r="T18" s="308" t="n"/>
      <c r="U18" s="308" t="n"/>
      <c r="V18" s="308" t="n"/>
      <c r="W18" s="308" t="n"/>
      <c r="X18" s="308" t="n"/>
      <c r="Y18" s="308" t="n"/>
      <c r="Z18" s="308" t="n"/>
      <c r="AA18" s="308" t="n"/>
      <c r="AB18" s="308" t="n"/>
      <c r="AC18" s="37" t="n"/>
    </row>
    <row r="19" hidden="1" ht="15.75" customHeight="1">
      <c r="C19" s="78" t="n"/>
      <c r="D19" s="25" t="inlineStr">
        <is>
          <t>FORZA</t>
        </is>
      </c>
      <c r="E19" s="315" t="inlineStr">
        <is>
          <t>Wk 1</t>
        </is>
      </c>
      <c r="H19" s="363" t="n"/>
      <c r="I19" s="315" t="n"/>
      <c r="J19" s="315" t="n"/>
      <c r="K19" s="315" t="inlineStr">
        <is>
          <t>Wk 2</t>
        </is>
      </c>
      <c r="N19" s="363" t="n"/>
      <c r="O19" s="315" t="n"/>
      <c r="P19" s="315" t="n"/>
      <c r="Q19" s="315" t="inlineStr">
        <is>
          <t>Wk 3</t>
        </is>
      </c>
      <c r="T19" s="363" t="n"/>
      <c r="U19" s="315" t="n"/>
      <c r="V19" s="315" t="n"/>
      <c r="W19" s="315" t="inlineStr">
        <is>
          <t>Wk 4</t>
        </is>
      </c>
      <c r="Z19" s="363" t="n"/>
      <c r="AA19" s="314" t="n"/>
      <c r="AB19" s="314" t="n"/>
      <c r="AC19" s="33" t="n"/>
    </row>
    <row r="20" hidden="1" ht="15.75" customHeight="1">
      <c r="C20" s="78" t="n"/>
      <c r="D20" s="74" t="inlineStr">
        <is>
          <t>Esercizio</t>
        </is>
      </c>
      <c r="E20" s="95" t="inlineStr">
        <is>
          <t>TEMPO</t>
        </is>
      </c>
      <c r="F20" s="34" t="inlineStr">
        <is>
          <t>REP</t>
        </is>
      </c>
      <c r="G20" s="95" t="inlineStr">
        <is>
          <t>SET</t>
        </is>
      </c>
      <c r="H20" s="73" t="inlineStr">
        <is>
          <t>CARICO</t>
        </is>
      </c>
      <c r="I20" s="140" t="inlineStr">
        <is>
          <t>Rest</t>
        </is>
      </c>
      <c r="J20" s="140" t="inlineStr">
        <is>
          <t>TUT es</t>
        </is>
      </c>
      <c r="K20" s="95" t="inlineStr">
        <is>
          <t>TEMPO</t>
        </is>
      </c>
      <c r="L20" s="34" t="inlineStr">
        <is>
          <t>REP</t>
        </is>
      </c>
      <c r="M20" s="95" t="inlineStr">
        <is>
          <t>SET</t>
        </is>
      </c>
      <c r="N20" s="73" t="inlineStr">
        <is>
          <t>CARICO</t>
        </is>
      </c>
      <c r="O20" s="140" t="inlineStr">
        <is>
          <t>Rest</t>
        </is>
      </c>
      <c r="P20" s="140" t="inlineStr">
        <is>
          <t>TUT es</t>
        </is>
      </c>
      <c r="Q20" s="95" t="inlineStr">
        <is>
          <t>TEMPO</t>
        </is>
      </c>
      <c r="R20" s="34" t="inlineStr">
        <is>
          <t>REP</t>
        </is>
      </c>
      <c r="S20" s="95" t="inlineStr">
        <is>
          <t>SET</t>
        </is>
      </c>
      <c r="T20" s="73" t="inlineStr">
        <is>
          <t>CARICO</t>
        </is>
      </c>
      <c r="U20" s="140" t="inlineStr">
        <is>
          <t>Rest</t>
        </is>
      </c>
      <c r="V20" s="140" t="inlineStr">
        <is>
          <t>TUT es</t>
        </is>
      </c>
      <c r="W20" s="95" t="inlineStr">
        <is>
          <t>TEMPO</t>
        </is>
      </c>
      <c r="X20" s="34" t="inlineStr">
        <is>
          <t>REP</t>
        </is>
      </c>
      <c r="Y20" s="95" t="inlineStr">
        <is>
          <t>SET</t>
        </is>
      </c>
      <c r="Z20" s="73" t="inlineStr">
        <is>
          <t>CARICO</t>
        </is>
      </c>
      <c r="AA20" s="140" t="inlineStr">
        <is>
          <t>Rest</t>
        </is>
      </c>
      <c r="AB20" s="140" t="inlineStr">
        <is>
          <t>TUT es</t>
        </is>
      </c>
      <c r="AC20" s="33" t="n"/>
    </row>
    <row r="21" hidden="1" ht="16.15" customHeight="1">
      <c r="C21" s="78" t="n"/>
      <c r="D21" s="79" t="inlineStr">
        <is>
          <t>Stacco da terra dita stese</t>
        </is>
      </c>
      <c r="E21" s="94" t="inlineStr">
        <is>
          <t>X</t>
        </is>
      </c>
      <c r="F21" s="35" t="n">
        <v>3</v>
      </c>
      <c r="G21" s="94" t="n">
        <v>3</v>
      </c>
      <c r="H21" s="148" t="inlineStr">
        <is>
          <t>RPE6</t>
        </is>
      </c>
      <c r="I21" s="306" t="n"/>
      <c r="J21" s="306">
        <f>(E21*F21)+(F21*I21)</f>
        <v/>
      </c>
      <c r="K21" s="94" t="inlineStr">
        <is>
          <t>X</t>
        </is>
      </c>
      <c r="L21" s="35" t="n">
        <v>4</v>
      </c>
      <c r="M21" s="94" t="n">
        <v>3</v>
      </c>
      <c r="N21" s="148" t="inlineStr">
        <is>
          <t>RPE7</t>
        </is>
      </c>
      <c r="O21">
        <f>$I21</f>
        <v/>
      </c>
      <c r="P21" s="306">
        <f>(K21*L21)+(L21*O21)</f>
        <v/>
      </c>
      <c r="Q21" s="94" t="inlineStr">
        <is>
          <t>X</t>
        </is>
      </c>
      <c r="R21" s="35" t="n">
        <v>5</v>
      </c>
      <c r="S21" s="94" t="n">
        <v>3</v>
      </c>
      <c r="T21" s="148" t="inlineStr">
        <is>
          <t>RPE8</t>
        </is>
      </c>
      <c r="U21">
        <f>$I21</f>
        <v/>
      </c>
      <c r="V21" s="306">
        <f>(Q21*R21)+(R21*U21)</f>
        <v/>
      </c>
      <c r="W21" s="94" t="inlineStr">
        <is>
          <t>\</t>
        </is>
      </c>
      <c r="X21" s="35" t="inlineStr">
        <is>
          <t>\</t>
        </is>
      </c>
      <c r="Y21" s="94" t="inlineStr">
        <is>
          <t>\</t>
        </is>
      </c>
      <c r="Z21" s="243" t="inlineStr">
        <is>
          <t>\</t>
        </is>
      </c>
      <c r="AA21">
        <f>$I21</f>
        <v/>
      </c>
      <c r="AB21" s="306">
        <f>(W21*X21)+(X21*AA21)</f>
        <v/>
      </c>
      <c r="AC21" s="33" t="n"/>
      <c r="AD21" s="25" t="n"/>
      <c r="AE21" s="25" t="n"/>
      <c r="AF21" s="25" t="n"/>
    </row>
    <row r="22" hidden="1" ht="15.75" customHeight="1">
      <c r="C22" s="78" t="n"/>
      <c r="D22" s="144" t="inlineStr">
        <is>
          <t>Sospensioni bidito semiarcuate scaricate</t>
        </is>
      </c>
      <c r="E22" s="145" t="n">
        <v>5</v>
      </c>
      <c r="F22" s="145" t="n">
        <v>3</v>
      </c>
      <c r="G22" s="145" t="n">
        <v>2</v>
      </c>
      <c r="H22" s="151" t="n"/>
      <c r="I22" s="147" t="n"/>
      <c r="J22" s="147">
        <f>(E22*F22)+(F22*I22)</f>
        <v/>
      </c>
      <c r="K22" s="145" t="n">
        <v>5</v>
      </c>
      <c r="L22" s="145" t="n">
        <v>3</v>
      </c>
      <c r="M22" s="145" t="n">
        <v>2</v>
      </c>
      <c r="N22" s="151" t="n"/>
      <c r="O22" s="150">
        <f>$I22</f>
        <v/>
      </c>
      <c r="P22" s="147">
        <f>(K22*L22)+(L22*O22)</f>
        <v/>
      </c>
      <c r="Q22" s="145" t="n">
        <v>5</v>
      </c>
      <c r="R22" s="145" t="n">
        <v>3</v>
      </c>
      <c r="S22" s="145" t="n">
        <v>2</v>
      </c>
      <c r="T22" s="151" t="n"/>
      <c r="U22" s="150">
        <f>$I22</f>
        <v/>
      </c>
      <c r="V22" s="147">
        <f>(Q22*R22)+(R22*U22)</f>
        <v/>
      </c>
      <c r="W22" s="145" t="n">
        <v>5</v>
      </c>
      <c r="X22" s="145" t="n">
        <v>3</v>
      </c>
      <c r="Y22" s="145" t="n">
        <v>2</v>
      </c>
      <c r="Z22" s="151" t="n"/>
      <c r="AA22" s="150">
        <f>$I22</f>
        <v/>
      </c>
      <c r="AB22" s="147">
        <f>(W22*X22)+(X22*AA22)</f>
        <v/>
      </c>
      <c r="AC22" s="33" t="n"/>
      <c r="AD22" s="7" t="n"/>
    </row>
    <row r="23" hidden="1" ht="15.75" customHeight="1">
      <c r="C23" s="78" t="n"/>
      <c r="D23" s="79" t="inlineStr">
        <is>
          <t>Sospensioni svase</t>
        </is>
      </c>
      <c r="E23" s="306" t="n">
        <v>6</v>
      </c>
      <c r="F23" s="94" t="n">
        <v>2</v>
      </c>
      <c r="G23" s="94" t="n">
        <v>3</v>
      </c>
      <c r="H23" s="148" t="n"/>
      <c r="I23" s="306" t="n"/>
      <c r="J23" s="306">
        <f>(E23*F23)+(F23*I23)</f>
        <v/>
      </c>
      <c r="K23" s="306" t="n">
        <v>6</v>
      </c>
      <c r="L23" s="94" t="n">
        <v>2</v>
      </c>
      <c r="M23" s="94" t="n">
        <v>3</v>
      </c>
      <c r="N23" s="148" t="n"/>
      <c r="O23">
        <f>$I23</f>
        <v/>
      </c>
      <c r="P23" s="306">
        <f>(K23*L23)+(L23*O23)</f>
        <v/>
      </c>
      <c r="Q23" s="306" t="n">
        <v>6</v>
      </c>
      <c r="R23" s="94" t="n">
        <v>3</v>
      </c>
      <c r="S23" s="94" t="n">
        <v>3</v>
      </c>
      <c r="T23" s="148" t="n"/>
      <c r="U23">
        <f>$I23</f>
        <v/>
      </c>
      <c r="V23" s="306">
        <f>(Q23*R23)+(R23*U23)</f>
        <v/>
      </c>
      <c r="W23" s="306" t="n">
        <v>6</v>
      </c>
      <c r="X23" s="94" t="n">
        <v>3</v>
      </c>
      <c r="Y23" s="94" t="n">
        <v>2</v>
      </c>
      <c r="Z23" s="148" t="n"/>
      <c r="AA23">
        <f>$I23</f>
        <v/>
      </c>
      <c r="AB23" s="306">
        <f>(W23*X23)+(X23*AA23)</f>
        <v/>
      </c>
      <c r="AC23" s="33" t="n"/>
    </row>
    <row r="24" hidden="1" ht="15.75" customHeight="1">
      <c r="C24" s="78" t="n"/>
      <c r="D24" s="144" t="inlineStr">
        <is>
          <t>Sospensione due mani 20mm</t>
        </is>
      </c>
      <c r="E24" s="178" t="inlineStr">
        <is>
          <t>AMRAP</t>
        </is>
      </c>
      <c r="F24" s="145" t="n">
        <v>1</v>
      </c>
      <c r="G24" s="145" t="n">
        <v>1</v>
      </c>
      <c r="H24" s="146" t="n">
        <v>25</v>
      </c>
      <c r="I24" s="147" t="n"/>
      <c r="J24" s="147" t="n"/>
      <c r="K24" s="178" t="inlineStr">
        <is>
          <t>AMRAP</t>
        </is>
      </c>
      <c r="L24" s="145" t="n">
        <v>1</v>
      </c>
      <c r="M24" s="145" t="n">
        <v>1</v>
      </c>
      <c r="N24" s="146" t="n">
        <v>25</v>
      </c>
      <c r="O24" s="147" t="n"/>
      <c r="P24" s="147" t="n"/>
      <c r="Q24" s="178" t="inlineStr">
        <is>
          <t>AMRAP</t>
        </is>
      </c>
      <c r="R24" s="145" t="n">
        <v>1</v>
      </c>
      <c r="S24" s="145" t="n">
        <v>1</v>
      </c>
      <c r="T24" s="146" t="n">
        <v>25</v>
      </c>
      <c r="U24" s="147" t="n"/>
      <c r="V24" s="147" t="n"/>
      <c r="W24" s="178" t="inlineStr">
        <is>
          <t>AMRAP</t>
        </is>
      </c>
      <c r="X24" s="145" t="n">
        <v>1</v>
      </c>
      <c r="Y24" s="145" t="n">
        <v>1</v>
      </c>
      <c r="Z24" s="146" t="n">
        <v>25</v>
      </c>
      <c r="AA24" s="147" t="n"/>
      <c r="AB24" s="147" t="n"/>
      <c r="AC24" s="33" t="n"/>
    </row>
    <row r="25" hidden="1" ht="15.75" customHeight="1">
      <c r="C25" s="78" t="n"/>
      <c r="D25" s="80" t="inlineStr">
        <is>
          <t>Volume totale:</t>
        </is>
      </c>
      <c r="E25" s="307">
        <f t="array" ref="E25">SUMPRODUCT((E21:E23*F21:F23)*G21:G23)</f>
        <v/>
      </c>
      <c r="H25" s="364" t="n"/>
      <c r="I25" s="306" t="n"/>
      <c r="J25" s="306" t="n"/>
      <c r="K25" s="307">
        <f t="array" ref="K25">SUMPRODUCT((K21:K23*L21:L23)*M21:M23)</f>
        <v/>
      </c>
      <c r="N25" s="364" t="n"/>
      <c r="O25" s="306" t="n"/>
      <c r="P25" s="306" t="n"/>
      <c r="Q25" s="307">
        <f t="array" ref="Q25">SUMPRODUCT((Q21:Q23*R21:R23)*S21:S23)</f>
        <v/>
      </c>
      <c r="T25" s="364" t="n"/>
      <c r="U25" s="306" t="n"/>
      <c r="V25" s="306" t="n"/>
      <c r="W25" s="307">
        <f t="array" ref="W25">SUMPRODUCT((W21:W23*X21:X23)*Y21:Y23)</f>
        <v/>
      </c>
      <c r="Z25" s="364" t="n"/>
      <c r="AA25" s="306" t="n"/>
      <c r="AB25" s="306" t="n"/>
      <c r="AC25" s="33" t="n"/>
    </row>
    <row r="26" hidden="1" ht="15.6" customHeight="1">
      <c r="C26" s="78" t="n"/>
      <c r="D26" s="80" t="n"/>
      <c r="E26" s="81" t="n"/>
      <c r="F26" s="306" t="n"/>
      <c r="G26" s="306" t="n"/>
      <c r="H26" s="307" t="n"/>
      <c r="I26" s="306" t="n"/>
      <c r="J26" s="306" t="n"/>
      <c r="K26" s="306" t="n"/>
      <c r="L26" s="306" t="n"/>
      <c r="M26" s="306" t="n"/>
      <c r="N26" s="307" t="n"/>
      <c r="O26" s="306" t="n"/>
      <c r="P26" s="306" t="n"/>
      <c r="Q26" s="306" t="n"/>
      <c r="R26" s="306" t="n"/>
      <c r="S26" s="306" t="n"/>
      <c r="T26" s="307" t="n"/>
      <c r="U26" s="306" t="n"/>
      <c r="V26" s="306" t="n"/>
      <c r="W26" s="81" t="n"/>
      <c r="X26" s="306" t="n"/>
      <c r="Y26" s="306" t="n"/>
      <c r="Z26" s="307" t="n"/>
      <c r="AA26" s="306" t="n"/>
      <c r="AB26" s="306" t="n"/>
      <c r="AC26" s="48" t="n"/>
    </row>
    <row r="27" hidden="1" ht="15.6" customHeight="1">
      <c r="C27" s="78" t="n"/>
      <c r="D27" s="80" t="inlineStr">
        <is>
          <t xml:space="preserve">Recupero:  </t>
        </is>
      </c>
      <c r="E27" s="323" t="inlineStr">
        <is>
          <t xml:space="preserve"> Tra le ripetizioni 12"							</t>
        </is>
      </c>
      <c r="H27" s="364" t="n"/>
      <c r="I27" s="308" t="n"/>
      <c r="J27" s="308" t="n"/>
      <c r="K27" s="323" t="inlineStr">
        <is>
          <t xml:space="preserve"> Tra le ripetizioni 12"							</t>
        </is>
      </c>
      <c r="N27" s="364" t="n"/>
      <c r="O27" s="308" t="n"/>
      <c r="P27" s="308" t="n"/>
      <c r="Q27" s="323" t="inlineStr">
        <is>
          <t xml:space="preserve"> Tra le ripetizioni 12"							</t>
        </is>
      </c>
      <c r="T27" s="364" t="n"/>
      <c r="U27" s="308" t="n"/>
      <c r="V27" s="308" t="n"/>
      <c r="W27" s="323" t="inlineStr">
        <is>
          <t xml:space="preserve"> Tra le ripetizioni 12"							</t>
        </is>
      </c>
      <c r="Z27" s="364" t="n"/>
      <c r="AA27" s="322" t="n"/>
      <c r="AB27" s="322" t="n"/>
      <c r="AC27" s="37" t="n"/>
    </row>
    <row r="28" hidden="1" ht="15.6" customHeight="1">
      <c r="C28" s="78" t="n"/>
      <c r="D28" s="80" t="n"/>
      <c r="E28" s="309" t="inlineStr">
        <is>
          <t xml:space="preserve"> Tra le serie 2'+</t>
        </is>
      </c>
      <c r="H28" s="364" t="n"/>
      <c r="I28" s="308" t="n"/>
      <c r="J28" s="308" t="n"/>
      <c r="K28" s="309" t="inlineStr">
        <is>
          <t xml:space="preserve"> Tra le serie 2'+</t>
        </is>
      </c>
      <c r="N28" s="364" t="n"/>
      <c r="O28" s="308" t="n"/>
      <c r="P28" s="308" t="n"/>
      <c r="Q28" s="309" t="inlineStr">
        <is>
          <t xml:space="preserve"> Tra le serie 2'+</t>
        </is>
      </c>
      <c r="T28" s="364" t="n"/>
      <c r="U28" s="308" t="n"/>
      <c r="V28" s="308" t="n"/>
      <c r="W28" s="309" t="inlineStr">
        <is>
          <t xml:space="preserve"> Tra le serie 2'+</t>
        </is>
      </c>
      <c r="Z28" s="364" t="n"/>
      <c r="AA28" s="308" t="n"/>
      <c r="AB28" s="308" t="n"/>
      <c r="AC28" s="37" t="n"/>
    </row>
    <row r="29" hidden="1" ht="15.75" customHeight="1">
      <c r="C29" s="78" t="n"/>
      <c r="D29" s="81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9" t="n"/>
    </row>
    <row r="30" hidden="1" ht="15.75" customHeight="1">
      <c r="C30" s="78" t="n"/>
      <c r="D30" s="81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9" t="n"/>
    </row>
    <row r="31" hidden="1" ht="15.75" customHeight="1">
      <c r="C31" s="78" t="n"/>
      <c r="D31" s="81" t="inlineStr">
        <is>
          <t xml:space="preserve">1RM stacco da terra </t>
        </is>
      </c>
      <c r="E31" s="38" t="n">
        <v>48</v>
      </c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9" t="n"/>
    </row>
    <row r="32" hidden="1" ht="15.75" customHeight="1">
      <c r="C32" s="78" t="n"/>
      <c r="D32" s="81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9" t="n"/>
    </row>
    <row r="33" hidden="1">
      <c r="C33" s="78" t="n"/>
      <c r="D33" s="310" t="inlineStr">
        <is>
          <t>Esegui le sospensioni senza arrivare mai allo sfinimento (tranne nell'AMRAP), nel caso siano facili aumenta la zavorra</t>
        </is>
      </c>
      <c r="X33" s="40" t="n"/>
      <c r="Y33" s="40" t="n"/>
      <c r="Z33" s="40" t="n"/>
      <c r="AA33" s="40" t="n"/>
      <c r="AB33" s="40" t="n"/>
      <c r="AC33" s="41" t="n"/>
    </row>
    <row r="34" hidden="1" ht="14.45" customHeight="1">
      <c r="C34" s="78" t="n"/>
      <c r="D34" s="310" t="inlineStr">
        <is>
          <t>Esegui l'AMRAP entrambi i giorni di allenamento recuperando 3' prima di farlo</t>
        </is>
      </c>
      <c r="L34" s="310" t="n"/>
      <c r="M34" s="310" t="n"/>
      <c r="N34" s="310" t="n"/>
      <c r="O34" s="310" t="n"/>
      <c r="P34" s="310" t="n"/>
      <c r="Q34" s="310" t="n"/>
      <c r="R34" s="310" t="n"/>
      <c r="S34" s="310" t="n"/>
      <c r="T34" s="310" t="n"/>
      <c r="U34" s="310" t="n"/>
      <c r="V34" s="310" t="n"/>
      <c r="W34" s="310" t="n"/>
      <c r="X34" s="40" t="n"/>
      <c r="Y34" s="40" t="n"/>
      <c r="Z34" s="40" t="n"/>
      <c r="AA34" s="40" t="n"/>
      <c r="AB34" s="40" t="n"/>
      <c r="AC34" s="41" t="n"/>
    </row>
    <row r="35" hidden="1" ht="15.75" customHeight="1" thickBot="1">
      <c r="C35" s="82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325" t="n">
        <v>45447</v>
      </c>
      <c r="Z35" s="9" t="n"/>
      <c r="AA35" s="9" t="n"/>
      <c r="AB35" s="9" t="n"/>
      <c r="AC35" s="365" t="n"/>
    </row>
    <row r="36" hidden="1" ht="15.75" customHeight="1" thickTop="1">
      <c r="C36" s="1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12" t="n"/>
      <c r="X36" s="12" t="n"/>
      <c r="Y36" s="12" t="n"/>
      <c r="Z36" s="12" t="n"/>
      <c r="AA36" s="12" t="n"/>
      <c r="AB36" s="12" t="n"/>
      <c r="AC36" s="12" t="n"/>
    </row>
    <row r="37">
      <c r="C37" s="12" t="n"/>
      <c r="D37" s="12" t="n"/>
      <c r="E37" s="83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12" t="n"/>
      <c r="X37" s="12" t="n"/>
      <c r="Y37" s="12" t="n"/>
      <c r="Z37" s="12" t="n"/>
      <c r="AA37" s="12" t="n"/>
      <c r="AB37" s="12" t="n"/>
      <c r="AC37" s="12" t="n"/>
    </row>
    <row r="38" ht="15.6" customHeight="1">
      <c r="C38" s="327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</row>
    <row r="39" ht="15.6" customHeight="1" thickBot="1">
      <c r="C39" s="25" t="inlineStr">
        <is>
          <t>WEEK 5-8</t>
        </is>
      </c>
      <c r="D39" s="81" t="n"/>
      <c r="E39" s="12" t="n"/>
      <c r="F39" s="12" t="n"/>
      <c r="G39" s="27" t="n"/>
      <c r="H39" s="27" t="n"/>
      <c r="I39" s="141" t="n"/>
      <c r="J39" s="141" t="n"/>
      <c r="K39" s="12" t="n"/>
      <c r="L39" s="326">
        <f>$L$3</f>
        <v/>
      </c>
      <c r="M39" s="9" t="n"/>
      <c r="N39" s="28" t="n"/>
      <c r="O39" s="28" t="n"/>
      <c r="P39" s="28" t="n"/>
      <c r="Q39" s="28" t="n"/>
      <c r="R39" s="12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338">
        <f>$AC$3</f>
        <v/>
      </c>
    </row>
    <row r="40" ht="40.9" customHeight="1" thickBot="1" thickTop="1">
      <c r="C40" s="317" t="n"/>
      <c r="D40" s="360" t="n"/>
      <c r="E40" s="360" t="n"/>
      <c r="F40" s="360" t="n"/>
      <c r="G40" s="360" t="n"/>
      <c r="H40" s="360" t="n"/>
      <c r="I40" s="360" t="n"/>
      <c r="J40" s="360" t="n"/>
      <c r="K40" s="360" t="n"/>
      <c r="L40" s="360" t="n"/>
      <c r="M40" s="360" t="n"/>
      <c r="N40" s="360" t="n"/>
      <c r="O40" s="360" t="n"/>
      <c r="P40" s="360" t="n"/>
      <c r="Q40" s="360" t="n"/>
      <c r="R40" s="360" t="n"/>
      <c r="S40" s="360" t="n"/>
      <c r="T40" s="360" t="n"/>
      <c r="U40" s="360" t="n"/>
      <c r="V40" s="360" t="n"/>
      <c r="W40" s="360" t="n"/>
      <c r="X40" s="360" t="n"/>
      <c r="Y40" s="360" t="n"/>
      <c r="Z40" s="320">
        <f>$AC$4</f>
        <v/>
      </c>
      <c r="AA40" s="360" t="n"/>
      <c r="AB40" s="360" t="n"/>
      <c r="AC40" s="362" t="n"/>
    </row>
    <row r="41" ht="18" customHeight="1" thickBot="1" thickTop="1">
      <c r="C41" s="361" t="inlineStr">
        <is>
          <t>2024_07_SOSPENSIONI</t>
        </is>
      </c>
      <c r="D41" s="360" t="n"/>
      <c r="E41" s="360" t="n"/>
      <c r="F41" s="360" t="n"/>
      <c r="G41" s="360" t="n"/>
      <c r="H41" s="360" t="n"/>
      <c r="I41" s="360" t="n"/>
      <c r="J41" s="360" t="n"/>
      <c r="K41" s="360" t="n"/>
      <c r="L41" s="360" t="n"/>
      <c r="M41" s="360" t="n"/>
      <c r="N41" s="360" t="n"/>
      <c r="O41" s="360" t="n"/>
      <c r="P41" s="360" t="n"/>
      <c r="Q41" s="360" t="n"/>
      <c r="R41" s="360" t="n"/>
      <c r="S41" s="360" t="n"/>
      <c r="T41" s="360" t="n"/>
      <c r="U41" s="360" t="n"/>
      <c r="V41" s="360" t="n"/>
      <c r="W41" s="360" t="n"/>
      <c r="X41" s="360" t="n"/>
      <c r="Y41" s="360" t="n"/>
      <c r="Z41" s="360" t="n"/>
      <c r="AA41" s="360" t="n"/>
      <c r="AB41" s="360" t="n"/>
      <c r="AC41" s="362" t="n"/>
    </row>
    <row r="42" ht="15.75" customHeight="1" thickTop="1">
      <c r="C42" s="75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7" t="n"/>
    </row>
    <row r="43" ht="15.75" customHeight="1">
      <c r="C43" s="78" t="n"/>
      <c r="D43" s="81" t="inlineStr">
        <is>
          <t>FORZA</t>
        </is>
      </c>
      <c r="E43" s="315" t="inlineStr">
        <is>
          <t>Wk 5</t>
        </is>
      </c>
      <c r="H43" s="363" t="n"/>
      <c r="I43" s="315" t="n"/>
      <c r="J43" s="315" t="n"/>
      <c r="K43" s="315" t="inlineStr">
        <is>
          <t>Wk 6</t>
        </is>
      </c>
      <c r="N43" s="363" t="n"/>
      <c r="O43" s="315" t="n"/>
      <c r="P43" s="315" t="n"/>
      <c r="Q43" s="315" t="inlineStr">
        <is>
          <t>Wk 7</t>
        </is>
      </c>
      <c r="T43" s="363" t="n"/>
      <c r="U43" s="315" t="n"/>
      <c r="V43" s="315" t="n"/>
      <c r="W43" s="315" t="inlineStr">
        <is>
          <t>Wk 8</t>
        </is>
      </c>
      <c r="Z43" s="363" t="n"/>
      <c r="AA43" s="81" t="n"/>
      <c r="AB43" s="81" t="n"/>
      <c r="AC43" s="48" t="n"/>
    </row>
    <row r="44" ht="15.75" customHeight="1">
      <c r="C44" s="78" t="n"/>
      <c r="D44" s="74" t="inlineStr">
        <is>
          <t>Esercizio</t>
        </is>
      </c>
      <c r="E44" s="95" t="inlineStr">
        <is>
          <t>TEMPO</t>
        </is>
      </c>
      <c r="F44" s="34" t="inlineStr">
        <is>
          <t>REP</t>
        </is>
      </c>
      <c r="G44" s="95" t="inlineStr">
        <is>
          <t>SET</t>
        </is>
      </c>
      <c r="H44" s="73" t="inlineStr">
        <is>
          <t>CARICO</t>
        </is>
      </c>
      <c r="I44" s="140" t="inlineStr">
        <is>
          <t>Rest</t>
        </is>
      </c>
      <c r="J44" s="140" t="inlineStr">
        <is>
          <t>TUT es</t>
        </is>
      </c>
      <c r="K44" s="95" t="inlineStr">
        <is>
          <t>TEMPO</t>
        </is>
      </c>
      <c r="L44" s="34" t="inlineStr">
        <is>
          <t>REP</t>
        </is>
      </c>
      <c r="M44" s="95" t="inlineStr">
        <is>
          <t>SET</t>
        </is>
      </c>
      <c r="N44" s="73" t="inlineStr">
        <is>
          <t>CARICO</t>
        </is>
      </c>
      <c r="O44" s="140" t="inlineStr">
        <is>
          <t>Rest</t>
        </is>
      </c>
      <c r="P44" s="140" t="inlineStr">
        <is>
          <t>TUT es</t>
        </is>
      </c>
      <c r="Q44" s="95" t="inlineStr">
        <is>
          <t>TEMPO</t>
        </is>
      </c>
      <c r="R44" s="34" t="inlineStr">
        <is>
          <t>REP</t>
        </is>
      </c>
      <c r="S44" s="95" t="inlineStr">
        <is>
          <t>SET</t>
        </is>
      </c>
      <c r="T44" s="73" t="inlineStr">
        <is>
          <t>CARICO</t>
        </is>
      </c>
      <c r="U44" s="140" t="inlineStr">
        <is>
          <t>Rest</t>
        </is>
      </c>
      <c r="V44" s="140" t="inlineStr">
        <is>
          <t>TUT es</t>
        </is>
      </c>
      <c r="W44" s="95" t="inlineStr">
        <is>
          <t>TEMPO</t>
        </is>
      </c>
      <c r="X44" s="34" t="inlineStr">
        <is>
          <t>REP</t>
        </is>
      </c>
      <c r="Y44" s="95" t="inlineStr">
        <is>
          <t>SET</t>
        </is>
      </c>
      <c r="Z44" s="73" t="inlineStr">
        <is>
          <t>CARICO</t>
        </is>
      </c>
      <c r="AA44" s="140" t="inlineStr">
        <is>
          <t>Rest</t>
        </is>
      </c>
      <c r="AB44" s="140" t="inlineStr">
        <is>
          <t>TUT es</t>
        </is>
      </c>
      <c r="AC44" s="33" t="n"/>
    </row>
    <row r="45" ht="16.15" customHeight="1">
      <c r="C45" s="78" t="n"/>
      <c r="D45" s="79" t="inlineStr">
        <is>
          <t>Stacco da terra 20mm</t>
        </is>
      </c>
      <c r="E45" s="94" t="inlineStr">
        <is>
          <t>X</t>
        </is>
      </c>
      <c r="F45" s="35" t="n">
        <v>1</v>
      </c>
      <c r="G45" s="94" t="n">
        <v>1</v>
      </c>
      <c r="H45" s="243" t="inlineStr">
        <is>
          <t>RPE6</t>
        </is>
      </c>
      <c r="I45" s="306" t="n"/>
      <c r="J45" s="306">
        <f>(E45*F45)+(F45*I45)</f>
        <v/>
      </c>
      <c r="K45" s="94" t="inlineStr">
        <is>
          <t>X</t>
        </is>
      </c>
      <c r="L45" s="35" t="n">
        <v>1</v>
      </c>
      <c r="M45" s="94" t="n">
        <v>1</v>
      </c>
      <c r="N45" s="243" t="inlineStr">
        <is>
          <t>RPE7</t>
        </is>
      </c>
      <c r="O45">
        <f>$I45</f>
        <v/>
      </c>
      <c r="P45" s="306">
        <f>(K45*L45)+(L45*O45)</f>
        <v/>
      </c>
      <c r="Q45" s="94" t="inlineStr">
        <is>
          <t>X</t>
        </is>
      </c>
      <c r="R45" s="35" t="n">
        <v>1</v>
      </c>
      <c r="S45" s="94" t="n">
        <v>1</v>
      </c>
      <c r="T45" s="243" t="inlineStr">
        <is>
          <t>RPE8</t>
        </is>
      </c>
      <c r="U45">
        <f>$I45</f>
        <v/>
      </c>
      <c r="V45" s="306">
        <f>(Q45*R45)+(R45*U45)</f>
        <v/>
      </c>
      <c r="W45" s="94" t="inlineStr">
        <is>
          <t>SKIP</t>
        </is>
      </c>
      <c r="X45" s="35" t="n"/>
      <c r="Y45" s="94" t="n"/>
      <c r="Z45" s="243" t="n"/>
      <c r="AA45">
        <f>$I45</f>
        <v/>
      </c>
      <c r="AB45" s="306">
        <f>(W45*X45)+(X45*AA45)</f>
        <v/>
      </c>
      <c r="AC45" s="33" t="n"/>
      <c r="AD45" s="25" t="n"/>
      <c r="AE45" s="25" t="n"/>
      <c r="AF45" s="25" t="n"/>
    </row>
    <row r="46" ht="16.15" customHeight="1">
      <c r="C46" s="78" t="n"/>
      <c r="D46" s="79" t="n"/>
      <c r="E46" s="94" t="inlineStr">
        <is>
          <t>X</t>
        </is>
      </c>
      <c r="F46" s="35" t="n">
        <v>3</v>
      </c>
      <c r="G46" s="94" t="n">
        <v>2</v>
      </c>
      <c r="H46" s="243" t="inlineStr">
        <is>
          <t>38-41</t>
        </is>
      </c>
      <c r="I46" s="306" t="n"/>
      <c r="J46" s="306" t="n"/>
      <c r="K46" s="94" t="inlineStr">
        <is>
          <t>X</t>
        </is>
      </c>
      <c r="L46" s="35" t="n">
        <v>4</v>
      </c>
      <c r="M46" s="94" t="n">
        <v>2</v>
      </c>
      <c r="N46" s="243" t="inlineStr">
        <is>
          <t>38-41</t>
        </is>
      </c>
      <c r="P46" s="306" t="n"/>
      <c r="Q46" s="94" t="inlineStr">
        <is>
          <t>X</t>
        </is>
      </c>
      <c r="R46" s="35" t="n">
        <v>5</v>
      </c>
      <c r="S46" s="94" t="n">
        <v>2</v>
      </c>
      <c r="T46" s="243" t="inlineStr">
        <is>
          <t>38-41</t>
        </is>
      </c>
      <c r="V46" s="306" t="n"/>
      <c r="W46" s="94" t="n"/>
      <c r="X46" s="35" t="n"/>
      <c r="Y46" s="94" t="n"/>
      <c r="Z46" s="148" t="n"/>
      <c r="AB46" s="306" t="n"/>
      <c r="AC46" s="33" t="n"/>
      <c r="AD46" s="25" t="n"/>
      <c r="AE46" s="25" t="n"/>
      <c r="AF46" s="25" t="n"/>
    </row>
    <row r="47" ht="15.75" customHeight="1">
      <c r="C47" s="78" t="n"/>
      <c r="D47" s="144" t="inlineStr">
        <is>
          <t>Sospensioni 3 dita stese</t>
        </is>
      </c>
      <c r="E47" s="145" t="n">
        <v>5</v>
      </c>
      <c r="F47" s="145" t="n">
        <v>3</v>
      </c>
      <c r="G47" s="145" t="n">
        <v>2</v>
      </c>
      <c r="H47" s="151" t="n"/>
      <c r="I47" s="147" t="n"/>
      <c r="J47" s="147">
        <f>(E47*F47)+(F47*I47)</f>
        <v/>
      </c>
      <c r="K47" s="145" t="n">
        <v>5</v>
      </c>
      <c r="L47" s="145" t="n">
        <v>3</v>
      </c>
      <c r="M47" s="145" t="n">
        <v>3</v>
      </c>
      <c r="N47" s="151" t="n"/>
      <c r="O47" s="150">
        <f>$I47</f>
        <v/>
      </c>
      <c r="P47" s="147">
        <f>(K47*L47)+(L47*O47)</f>
        <v/>
      </c>
      <c r="Q47" s="145" t="n">
        <v>6</v>
      </c>
      <c r="R47" s="145" t="n">
        <v>3</v>
      </c>
      <c r="S47" s="145" t="n">
        <v>3</v>
      </c>
      <c r="T47" s="151" t="n"/>
      <c r="U47" s="150">
        <f>$I47</f>
        <v/>
      </c>
      <c r="V47" s="147">
        <f>(Q47*R47)+(R47*U47)</f>
        <v/>
      </c>
      <c r="W47" s="145" t="n">
        <v>6</v>
      </c>
      <c r="X47" s="145" t="n">
        <v>3</v>
      </c>
      <c r="Y47" s="145" t="n">
        <v>2</v>
      </c>
      <c r="Z47" s="151" t="n"/>
      <c r="AA47" s="150">
        <f>$I47</f>
        <v/>
      </c>
      <c r="AB47" s="147">
        <f>(W47*X47)+(X47*AA47)</f>
        <v/>
      </c>
      <c r="AC47" s="33" t="n"/>
      <c r="AD47" s="7" t="n"/>
    </row>
    <row r="48" ht="15.75" customHeight="1">
      <c r="C48" s="78" t="n"/>
      <c r="D48" s="79" t="inlineStr">
        <is>
          <t>Sospensioni svase</t>
        </is>
      </c>
      <c r="E48" s="306" t="n">
        <v>7</v>
      </c>
      <c r="F48" s="94" t="n">
        <v>2</v>
      </c>
      <c r="G48" s="94" t="n">
        <v>2</v>
      </c>
      <c r="H48" s="148" t="n"/>
      <c r="I48" s="306" t="n"/>
      <c r="J48" s="306">
        <f>(E48*F48)+(F48*I48)</f>
        <v/>
      </c>
      <c r="K48" s="306" t="n">
        <v>7</v>
      </c>
      <c r="L48" s="94" t="n">
        <v>2</v>
      </c>
      <c r="M48" s="94" t="n">
        <v>3</v>
      </c>
      <c r="N48" s="148" t="n"/>
      <c r="O48">
        <f>$I48</f>
        <v/>
      </c>
      <c r="P48" s="306">
        <f>(K48*L48)+(L48*O48)</f>
        <v/>
      </c>
      <c r="Q48" s="306" t="n">
        <v>7</v>
      </c>
      <c r="R48" s="94" t="n">
        <v>2</v>
      </c>
      <c r="S48" s="94" t="n">
        <v>3</v>
      </c>
      <c r="T48" s="148" t="n"/>
      <c r="U48">
        <f>$I48</f>
        <v/>
      </c>
      <c r="V48" s="306">
        <f>(Q48*R48)+(R48*U48)</f>
        <v/>
      </c>
      <c r="W48" s="306" t="n">
        <v>7</v>
      </c>
      <c r="X48" s="94" t="n">
        <v>2</v>
      </c>
      <c r="Y48" s="94" t="n">
        <v>2</v>
      </c>
      <c r="Z48" s="148" t="n"/>
      <c r="AA48">
        <f>$I48</f>
        <v/>
      </c>
      <c r="AB48" s="306">
        <f>(W48*X48)+(X48*AA48)</f>
        <v/>
      </c>
      <c r="AC48" s="33" t="n"/>
    </row>
    <row r="49" ht="15.75" customHeight="1">
      <c r="C49" s="78" t="n"/>
      <c r="D49" s="144" t="inlineStr">
        <is>
          <t>Sospensione due mani 20mm</t>
        </is>
      </c>
      <c r="E49" s="178" t="inlineStr">
        <is>
          <t>AMRAP</t>
        </is>
      </c>
      <c r="F49" s="145" t="n">
        <v>1</v>
      </c>
      <c r="G49" s="145" t="n">
        <v>1</v>
      </c>
      <c r="H49" s="146" t="n">
        <v>25</v>
      </c>
      <c r="I49" s="147" t="n"/>
      <c r="J49" s="147" t="n"/>
      <c r="K49" s="178" t="inlineStr">
        <is>
          <t>AMRAP</t>
        </is>
      </c>
      <c r="L49" s="145" t="n">
        <v>1</v>
      </c>
      <c r="M49" s="145" t="n">
        <v>1</v>
      </c>
      <c r="N49" s="146" t="n">
        <v>25</v>
      </c>
      <c r="O49" s="147" t="n"/>
      <c r="P49" s="147" t="n"/>
      <c r="Q49" s="178" t="inlineStr">
        <is>
          <t>AMRAP</t>
        </is>
      </c>
      <c r="R49" s="145" t="n">
        <v>1</v>
      </c>
      <c r="S49" s="145" t="n">
        <v>1</v>
      </c>
      <c r="T49" s="146" t="n">
        <v>25</v>
      </c>
      <c r="U49" s="147" t="n"/>
      <c r="V49" s="147" t="n"/>
      <c r="W49" s="178" t="inlineStr">
        <is>
          <t>AMRAP</t>
        </is>
      </c>
      <c r="X49" s="145" t="n">
        <v>1</v>
      </c>
      <c r="Y49" s="145" t="n">
        <v>1</v>
      </c>
      <c r="Z49" s="146" t="n">
        <v>25</v>
      </c>
      <c r="AA49" s="147" t="n"/>
      <c r="AB49" s="147" t="n"/>
      <c r="AC49" s="33" t="n"/>
    </row>
    <row r="50" ht="15.75" customHeight="1">
      <c r="C50" s="78" t="n"/>
      <c r="D50" s="80" t="inlineStr">
        <is>
          <t>Volume totale:</t>
        </is>
      </c>
      <c r="E50" s="307">
        <f t="array" ref="E50">SUMPRODUCT((E45:E48*F45:F48)*G45:G48)</f>
        <v/>
      </c>
      <c r="H50" s="364" t="n"/>
      <c r="I50" s="306" t="n"/>
      <c r="J50" s="306" t="n"/>
      <c r="K50" s="307">
        <f t="array" ref="K50">SUMPRODUCT((K45:K48*L45:L48)*M45:M48)</f>
        <v/>
      </c>
      <c r="N50" s="364" t="n"/>
      <c r="O50" s="306" t="n"/>
      <c r="P50" s="306" t="n"/>
      <c r="Q50" s="307">
        <f t="array" ref="Q50">SUMPRODUCT((Q45:Q48*R45:R48)*S45:S48)</f>
        <v/>
      </c>
      <c r="T50" s="364" t="n"/>
      <c r="U50" s="306" t="n"/>
      <c r="V50" s="306" t="n"/>
      <c r="W50" s="307">
        <f t="array" ref="W50">SUMPRODUCT((W45:W48*X45:X48)*Y45:Y48)</f>
        <v/>
      </c>
      <c r="Z50" s="364" t="n"/>
      <c r="AA50" s="306" t="n"/>
      <c r="AB50" s="306" t="n"/>
      <c r="AC50" s="33" t="n"/>
    </row>
    <row r="51" ht="15.6" customHeight="1">
      <c r="C51" s="78" t="n"/>
      <c r="D51" s="80" t="n"/>
      <c r="E51" s="81" t="n"/>
      <c r="F51" s="306" t="n"/>
      <c r="G51" s="306" t="n"/>
      <c r="H51" s="307" t="n"/>
      <c r="I51" s="306" t="n"/>
      <c r="J51" s="306" t="n"/>
      <c r="K51" s="306" t="n"/>
      <c r="L51" s="306" t="n"/>
      <c r="M51" s="306" t="n"/>
      <c r="N51" s="307" t="n"/>
      <c r="O51" s="306" t="n"/>
      <c r="P51" s="306" t="n"/>
      <c r="Q51" s="306" t="n"/>
      <c r="R51" s="306" t="n"/>
      <c r="S51" s="306" t="n"/>
      <c r="T51" s="307" t="n"/>
      <c r="U51" s="306" t="n"/>
      <c r="V51" s="306" t="n"/>
      <c r="W51" s="81" t="n"/>
      <c r="X51" s="306" t="n"/>
      <c r="Y51" s="306" t="n"/>
      <c r="Z51" s="307" t="n"/>
      <c r="AA51" s="306" t="n"/>
      <c r="AB51" s="306" t="n"/>
      <c r="AC51" s="48" t="n"/>
    </row>
    <row r="52" ht="15.6" customHeight="1">
      <c r="C52" s="78" t="n"/>
      <c r="D52" s="80" t="inlineStr">
        <is>
          <t xml:space="preserve">Recupero:  </t>
        </is>
      </c>
      <c r="E52" s="323" t="inlineStr">
        <is>
          <t xml:space="preserve"> Tra le ripetizioni 12" - No tra stacchi					</t>
        </is>
      </c>
      <c r="H52" s="364" t="n"/>
      <c r="I52" s="308" t="n"/>
      <c r="J52" s="308" t="n"/>
      <c r="K52" s="323" t="inlineStr">
        <is>
          <t xml:space="preserve"> Tra le ripetizioni 12" - No tra stacchi					</t>
        </is>
      </c>
      <c r="N52" s="364" t="n"/>
      <c r="O52" s="308" t="n"/>
      <c r="P52" s="308" t="n"/>
      <c r="Q52" s="323" t="inlineStr">
        <is>
          <t xml:space="preserve"> Tra le ripetizioni 12" - No tra stacchi					</t>
        </is>
      </c>
      <c r="T52" s="364" t="n"/>
      <c r="U52" s="308" t="n"/>
      <c r="V52" s="308" t="n"/>
      <c r="W52" s="323" t="inlineStr">
        <is>
          <t xml:space="preserve"> Tra le ripetizioni 12" - No tra stacchi					</t>
        </is>
      </c>
      <c r="Z52" s="364" t="n"/>
      <c r="AA52" s="322" t="n"/>
      <c r="AB52" s="322" t="n"/>
      <c r="AC52" s="37" t="n"/>
    </row>
    <row r="53" ht="15.6" customHeight="1">
      <c r="C53" s="78" t="n"/>
      <c r="D53" s="80" t="n"/>
      <c r="E53" s="309" t="inlineStr">
        <is>
          <t xml:space="preserve"> Tra le serie 2'+</t>
        </is>
      </c>
      <c r="H53" s="364" t="n"/>
      <c r="I53" s="308" t="n"/>
      <c r="J53" s="308" t="n"/>
      <c r="K53" s="309" t="inlineStr">
        <is>
          <t xml:space="preserve"> Tra le serie 2'+</t>
        </is>
      </c>
      <c r="N53" s="364" t="n"/>
      <c r="O53" s="308" t="n"/>
      <c r="P53" s="308" t="n"/>
      <c r="Q53" s="309" t="inlineStr">
        <is>
          <t xml:space="preserve"> Tra le serie 2'+</t>
        </is>
      </c>
      <c r="T53" s="364" t="n"/>
      <c r="U53" s="308" t="n"/>
      <c r="V53" s="308" t="n"/>
      <c r="W53" s="309" t="inlineStr">
        <is>
          <t xml:space="preserve"> Tra le serie 2'+</t>
        </is>
      </c>
      <c r="Z53" s="364" t="n"/>
      <c r="AA53" s="308" t="n"/>
      <c r="AB53" s="308" t="n"/>
      <c r="AC53" s="37" t="n"/>
    </row>
    <row r="54" ht="15.75" customHeight="1">
      <c r="C54" s="78" t="n"/>
      <c r="D54" s="80" t="n"/>
      <c r="E54" s="308" t="n"/>
      <c r="F54" s="308" t="n"/>
      <c r="G54" s="308" t="n"/>
      <c r="H54" s="308" t="n"/>
      <c r="I54" s="308" t="n"/>
      <c r="J54" s="308" t="n"/>
      <c r="K54" s="308" t="n"/>
      <c r="L54" s="308" t="n"/>
      <c r="M54" s="308" t="n"/>
      <c r="N54" s="308" t="n"/>
      <c r="O54" s="308" t="n"/>
      <c r="P54" s="308" t="n"/>
      <c r="Q54" s="308" t="n"/>
      <c r="R54" s="308" t="n"/>
      <c r="S54" s="308" t="n"/>
      <c r="T54" s="308" t="n"/>
      <c r="U54" s="308" t="n"/>
      <c r="V54" s="308" t="n"/>
      <c r="W54" s="308" t="n"/>
      <c r="X54" s="308" t="n"/>
      <c r="Y54" s="308" t="n"/>
      <c r="Z54" s="308" t="n"/>
      <c r="AA54" s="308" t="n"/>
      <c r="AB54" s="308" t="n"/>
      <c r="AC54" s="37" t="n"/>
    </row>
    <row r="55" ht="15.75" customHeight="1">
      <c r="C55" s="78" t="n"/>
      <c r="D55" s="25" t="inlineStr">
        <is>
          <t>FORZA</t>
        </is>
      </c>
      <c r="E55" s="315" t="inlineStr">
        <is>
          <t>Wk 5</t>
        </is>
      </c>
      <c r="H55" s="363" t="n"/>
      <c r="I55" s="315" t="n"/>
      <c r="J55" s="315" t="n"/>
      <c r="K55" s="315" t="inlineStr">
        <is>
          <t>Wk 6</t>
        </is>
      </c>
      <c r="N55" s="363" t="n"/>
      <c r="O55" s="315" t="n"/>
      <c r="P55" s="315" t="n"/>
      <c r="Q55" s="315" t="inlineStr">
        <is>
          <t>Wk 7</t>
        </is>
      </c>
      <c r="T55" s="363" t="n"/>
      <c r="U55" s="315" t="n"/>
      <c r="V55" s="315" t="n"/>
      <c r="W55" s="315" t="inlineStr">
        <is>
          <t>Wk 8</t>
        </is>
      </c>
      <c r="Z55" s="363" t="n"/>
      <c r="AA55" s="314" t="n"/>
      <c r="AB55" s="314" t="n"/>
      <c r="AC55" s="33" t="n"/>
    </row>
    <row r="56" ht="15.75" customHeight="1">
      <c r="C56" s="78" t="n"/>
      <c r="D56" s="74" t="inlineStr">
        <is>
          <t>Esercizio</t>
        </is>
      </c>
      <c r="E56" s="95" t="inlineStr">
        <is>
          <t>TEMPO</t>
        </is>
      </c>
      <c r="F56" s="34" t="inlineStr">
        <is>
          <t>REP</t>
        </is>
      </c>
      <c r="G56" s="95" t="inlineStr">
        <is>
          <t>SET</t>
        </is>
      </c>
      <c r="H56" s="73" t="inlineStr">
        <is>
          <t>CARICO</t>
        </is>
      </c>
      <c r="I56" s="140" t="inlineStr">
        <is>
          <t>Rest</t>
        </is>
      </c>
      <c r="J56" s="140" t="inlineStr">
        <is>
          <t>TUT es</t>
        </is>
      </c>
      <c r="K56" s="95" t="inlineStr">
        <is>
          <t>TEMPO</t>
        </is>
      </c>
      <c r="L56" s="34" t="inlineStr">
        <is>
          <t>REP</t>
        </is>
      </c>
      <c r="M56" s="95" t="inlineStr">
        <is>
          <t>SET</t>
        </is>
      </c>
      <c r="N56" s="73" t="inlineStr">
        <is>
          <t>CARICO</t>
        </is>
      </c>
      <c r="O56" s="140" t="inlineStr">
        <is>
          <t>Rest</t>
        </is>
      </c>
      <c r="P56" s="140" t="inlineStr">
        <is>
          <t>TUT es</t>
        </is>
      </c>
      <c r="Q56" s="95" t="inlineStr">
        <is>
          <t>TEMPO</t>
        </is>
      </c>
      <c r="R56" s="34" t="inlineStr">
        <is>
          <t>REP</t>
        </is>
      </c>
      <c r="S56" s="95" t="inlineStr">
        <is>
          <t>SET</t>
        </is>
      </c>
      <c r="T56" s="73" t="inlineStr">
        <is>
          <t>CARICO</t>
        </is>
      </c>
      <c r="U56" s="140" t="inlineStr">
        <is>
          <t>Rest</t>
        </is>
      </c>
      <c r="V56" s="140" t="inlineStr">
        <is>
          <t>TUT es</t>
        </is>
      </c>
      <c r="W56" s="95" t="inlineStr">
        <is>
          <t>TEMPO</t>
        </is>
      </c>
      <c r="X56" s="34" t="inlineStr">
        <is>
          <t>REP</t>
        </is>
      </c>
      <c r="Y56" s="95" t="inlineStr">
        <is>
          <t>SET</t>
        </is>
      </c>
      <c r="Z56" s="73" t="inlineStr">
        <is>
          <t>CARICO</t>
        </is>
      </c>
      <c r="AA56" s="140" t="inlineStr">
        <is>
          <t>Rest</t>
        </is>
      </c>
      <c r="AB56" s="140" t="inlineStr">
        <is>
          <t>TUT es</t>
        </is>
      </c>
      <c r="AC56" s="33" t="n"/>
    </row>
    <row r="57" ht="16.15" customHeight="1">
      <c r="C57" s="78" t="n"/>
      <c r="D57" s="144" t="inlineStr">
        <is>
          <t>Stacco da terra 20mm</t>
        </is>
      </c>
      <c r="E57" s="145" t="inlineStr">
        <is>
          <t>X</t>
        </is>
      </c>
      <c r="F57" s="149" t="n">
        <v>1</v>
      </c>
      <c r="G57" s="145" t="n">
        <v>1</v>
      </c>
      <c r="H57" s="246" t="inlineStr">
        <is>
          <t>RPE6</t>
        </is>
      </c>
      <c r="I57" s="147" t="n"/>
      <c r="J57" s="147">
        <f>(E57*F57)+(F57*I57)</f>
        <v/>
      </c>
      <c r="K57" s="145" t="inlineStr">
        <is>
          <t>X</t>
        </is>
      </c>
      <c r="L57" s="149" t="n">
        <v>1</v>
      </c>
      <c r="M57" s="145" t="n">
        <v>1</v>
      </c>
      <c r="N57" s="246" t="inlineStr">
        <is>
          <t>RPE7</t>
        </is>
      </c>
      <c r="O57" s="150">
        <f>$I57</f>
        <v/>
      </c>
      <c r="P57" s="147">
        <f>(K57*L57)+(L57*O57)</f>
        <v/>
      </c>
      <c r="Q57" s="145" t="inlineStr">
        <is>
          <t>X</t>
        </is>
      </c>
      <c r="R57" s="149" t="n">
        <v>1</v>
      </c>
      <c r="S57" s="145" t="n">
        <v>1</v>
      </c>
      <c r="T57" s="246" t="inlineStr">
        <is>
          <t>RPE8</t>
        </is>
      </c>
      <c r="U57" s="150">
        <f>$I57</f>
        <v/>
      </c>
      <c r="V57" s="147">
        <f>(Q57*R57)+(R57*U57)</f>
        <v/>
      </c>
      <c r="W57" s="145" t="inlineStr">
        <is>
          <t>X</t>
        </is>
      </c>
      <c r="X57" s="149" t="inlineStr">
        <is>
          <t>AMRAP</t>
        </is>
      </c>
      <c r="Y57" s="145" t="n">
        <v>1</v>
      </c>
      <c r="Z57" s="246" t="n">
        <v>44</v>
      </c>
      <c r="AA57">
        <f>$I57</f>
        <v/>
      </c>
      <c r="AB57" s="306">
        <f>(W57*X57)+(X57*AA57)</f>
        <v/>
      </c>
      <c r="AC57" s="33" t="n"/>
      <c r="AD57" s="25" t="n"/>
      <c r="AE57" s="25" t="n"/>
      <c r="AF57" s="25" t="n"/>
    </row>
    <row r="58" ht="16.15" customHeight="1">
      <c r="C58" s="78" t="n"/>
      <c r="D58" s="144" t="n"/>
      <c r="E58" s="145" t="inlineStr">
        <is>
          <t>X</t>
        </is>
      </c>
      <c r="F58" s="149" t="n">
        <v>5</v>
      </c>
      <c r="G58" s="145" t="n">
        <v>2</v>
      </c>
      <c r="H58" s="247" t="inlineStr">
        <is>
          <t>35-38</t>
        </is>
      </c>
      <c r="I58" s="147" t="n"/>
      <c r="J58" s="147" t="n"/>
      <c r="K58" s="145" t="inlineStr">
        <is>
          <t>X</t>
        </is>
      </c>
      <c r="L58" s="149" t="n">
        <v>6</v>
      </c>
      <c r="M58" s="145" t="n">
        <v>2</v>
      </c>
      <c r="N58" s="247" t="inlineStr">
        <is>
          <t>35-38</t>
        </is>
      </c>
      <c r="O58" s="150" t="n"/>
      <c r="P58" s="147" t="n"/>
      <c r="Q58" s="145" t="inlineStr">
        <is>
          <t>X</t>
        </is>
      </c>
      <c r="R58" s="149" t="n">
        <v>7</v>
      </c>
      <c r="S58" s="145" t="n">
        <v>2</v>
      </c>
      <c r="T58" s="247" t="inlineStr">
        <is>
          <t>35-38</t>
        </is>
      </c>
      <c r="U58" s="150" t="n"/>
      <c r="V58" s="147" t="n"/>
      <c r="W58" s="145" t="n"/>
      <c r="X58" s="149" t="n"/>
      <c r="Y58" s="145" t="n"/>
      <c r="Z58" s="151" t="n"/>
      <c r="AB58" s="306" t="n"/>
      <c r="AC58" s="33" t="n"/>
      <c r="AD58" s="25" t="n"/>
      <c r="AE58" s="25" t="n"/>
      <c r="AF58" s="25" t="n"/>
    </row>
    <row r="59" ht="16.15" customHeight="1">
      <c r="C59" s="78" t="n"/>
      <c r="D59" s="79" t="inlineStr">
        <is>
          <t>Stacco da terra dita stese</t>
        </is>
      </c>
      <c r="E59" s="94" t="inlineStr">
        <is>
          <t>X</t>
        </is>
      </c>
      <c r="F59" s="35" t="n">
        <v>6</v>
      </c>
      <c r="G59" s="94" t="n">
        <v>2</v>
      </c>
      <c r="H59" s="148" t="inlineStr">
        <is>
          <t>RPE8</t>
        </is>
      </c>
      <c r="I59" s="306" t="n"/>
      <c r="J59" s="306">
        <f>(E59*F59)+(F59*I59)</f>
        <v/>
      </c>
      <c r="K59" s="94" t="inlineStr">
        <is>
          <t>X</t>
        </is>
      </c>
      <c r="L59" s="35" t="n">
        <v>6</v>
      </c>
      <c r="M59" s="94" t="n">
        <v>3</v>
      </c>
      <c r="N59" s="148" t="inlineStr">
        <is>
          <t>RPE8</t>
        </is>
      </c>
      <c r="O59">
        <f>$I59</f>
        <v/>
      </c>
      <c r="P59" s="306">
        <f>(K59*L59)+(L59*O59)</f>
        <v/>
      </c>
      <c r="Q59" s="94" t="inlineStr">
        <is>
          <t>X</t>
        </is>
      </c>
      <c r="R59" s="35" t="n">
        <v>8</v>
      </c>
      <c r="S59" s="94" t="n">
        <v>3</v>
      </c>
      <c r="T59" s="148" t="inlineStr">
        <is>
          <t>RPE7</t>
        </is>
      </c>
      <c r="U59">
        <f>$I59</f>
        <v/>
      </c>
      <c r="V59" s="306">
        <f>(Q59*R59)+(R59*U59)</f>
        <v/>
      </c>
      <c r="W59" s="94" t="inlineStr">
        <is>
          <t>\</t>
        </is>
      </c>
      <c r="X59" s="35" t="inlineStr">
        <is>
          <t>\</t>
        </is>
      </c>
      <c r="Y59" s="94" t="inlineStr">
        <is>
          <t>\</t>
        </is>
      </c>
      <c r="Z59" s="243" t="inlineStr">
        <is>
          <t>\</t>
        </is>
      </c>
      <c r="AA59">
        <f>$I59</f>
        <v/>
      </c>
      <c r="AB59" s="306">
        <f>(W59*X59)+(X59*AA59)</f>
        <v/>
      </c>
      <c r="AC59" s="33" t="n"/>
      <c r="AD59" s="25" t="n"/>
      <c r="AE59" s="25" t="n"/>
      <c r="AF59" s="25" t="n"/>
    </row>
    <row r="60" ht="15.75" customHeight="1">
      <c r="C60" s="78" t="n"/>
      <c r="D60" s="144" t="inlineStr">
        <is>
          <t>Sospensioni bidito semiarcuate scaricate</t>
        </is>
      </c>
      <c r="E60" s="145" t="n">
        <v>5</v>
      </c>
      <c r="F60" s="145" t="n">
        <v>4</v>
      </c>
      <c r="G60" s="145" t="n">
        <v>2</v>
      </c>
      <c r="H60" s="151" t="n"/>
      <c r="I60" s="147" t="n"/>
      <c r="J60" s="147">
        <f>(E60*F60)+(F60*I60)</f>
        <v/>
      </c>
      <c r="K60" s="145" t="n">
        <v>5</v>
      </c>
      <c r="L60" s="145" t="n">
        <v>4</v>
      </c>
      <c r="M60" s="145" t="n">
        <v>3</v>
      </c>
      <c r="N60" s="151" t="n"/>
      <c r="O60" s="150">
        <f>$I60</f>
        <v/>
      </c>
      <c r="P60" s="147">
        <f>(K60*L60)+(L60*O60)</f>
        <v/>
      </c>
      <c r="Q60" s="145" t="n">
        <v>5</v>
      </c>
      <c r="R60" s="145" t="n">
        <v>4</v>
      </c>
      <c r="S60" s="145" t="n">
        <v>2</v>
      </c>
      <c r="T60" s="151" t="n"/>
      <c r="U60" s="150">
        <f>$I60</f>
        <v/>
      </c>
      <c r="V60" s="147">
        <f>(Q60*R60)+(R60*U60)</f>
        <v/>
      </c>
      <c r="W60" s="145" t="n">
        <v>5</v>
      </c>
      <c r="X60" s="145" t="n">
        <v>3</v>
      </c>
      <c r="Y60" s="145" t="n">
        <v>2</v>
      </c>
      <c r="Z60" s="151" t="n"/>
      <c r="AA60" s="150">
        <f>$I60</f>
        <v/>
      </c>
      <c r="AB60" s="147">
        <f>(W60*X60)+(X60*AA60)</f>
        <v/>
      </c>
      <c r="AC60" s="33" t="n"/>
      <c r="AD60" s="7" t="n"/>
    </row>
    <row r="61" ht="15.75" customHeight="1">
      <c r="C61" s="78" t="n"/>
      <c r="D61" s="79" t="inlineStr">
        <is>
          <t>Sospensioni micros 10mm</t>
        </is>
      </c>
      <c r="E61" s="306" t="n">
        <v>6</v>
      </c>
      <c r="F61" s="94" t="n">
        <v>2</v>
      </c>
      <c r="G61" s="94" t="n">
        <v>2</v>
      </c>
      <c r="H61" s="148" t="n"/>
      <c r="I61" s="306" t="n"/>
      <c r="J61" s="306">
        <f>(E61*F61)+(F61*I61)</f>
        <v/>
      </c>
      <c r="K61" s="306" t="n">
        <v>6</v>
      </c>
      <c r="L61" s="94" t="n">
        <v>2</v>
      </c>
      <c r="M61" s="94" t="n">
        <v>3</v>
      </c>
      <c r="N61" s="148" t="n"/>
      <c r="O61">
        <f>$I61</f>
        <v/>
      </c>
      <c r="P61" s="306">
        <f>(K61*L61)+(L61*O61)</f>
        <v/>
      </c>
      <c r="Q61" s="306" t="n">
        <v>6</v>
      </c>
      <c r="R61" s="94" t="n">
        <v>2</v>
      </c>
      <c r="S61" s="94" t="n">
        <v>3</v>
      </c>
      <c r="T61" s="148" t="n"/>
      <c r="U61">
        <f>$I61</f>
        <v/>
      </c>
      <c r="V61" s="306">
        <f>(Q61*R61)+(R61*U61)</f>
        <v/>
      </c>
      <c r="W61" s="306" t="n">
        <v>6</v>
      </c>
      <c r="X61" s="94" t="n">
        <v>2</v>
      </c>
      <c r="Y61" s="94" t="n">
        <v>2</v>
      </c>
      <c r="Z61" s="148" t="n"/>
      <c r="AA61">
        <f>$I61</f>
        <v/>
      </c>
      <c r="AB61" s="306">
        <f>(W61*X61)+(X61*AA61)</f>
        <v/>
      </c>
      <c r="AC61" s="33" t="n"/>
    </row>
    <row r="62" ht="15.75" customHeight="1">
      <c r="C62" s="78" t="n"/>
      <c r="D62" s="144" t="inlineStr">
        <is>
          <t>Sospensione due mani 20mm</t>
        </is>
      </c>
      <c r="E62" s="178" t="inlineStr">
        <is>
          <t>AMRAP</t>
        </is>
      </c>
      <c r="F62" s="145" t="n">
        <v>1</v>
      </c>
      <c r="G62" s="145" t="n">
        <v>1</v>
      </c>
      <c r="H62" s="146" t="n">
        <v>25</v>
      </c>
      <c r="I62" s="147" t="n"/>
      <c r="J62" s="147" t="n"/>
      <c r="K62" s="178" t="inlineStr">
        <is>
          <t>AMRAP</t>
        </is>
      </c>
      <c r="L62" s="145" t="n">
        <v>1</v>
      </c>
      <c r="M62" s="145" t="n">
        <v>1</v>
      </c>
      <c r="N62" s="146" t="n">
        <v>25</v>
      </c>
      <c r="O62" s="147" t="n"/>
      <c r="P62" s="147" t="n"/>
      <c r="Q62" s="178" t="inlineStr">
        <is>
          <t>AMRAP</t>
        </is>
      </c>
      <c r="R62" s="145" t="n">
        <v>1</v>
      </c>
      <c r="S62" s="145" t="n">
        <v>1</v>
      </c>
      <c r="T62" s="146" t="n">
        <v>25</v>
      </c>
      <c r="U62" s="147" t="n"/>
      <c r="V62" s="147" t="n"/>
      <c r="W62" s="178" t="inlineStr">
        <is>
          <t>AMRAP</t>
        </is>
      </c>
      <c r="X62" s="145" t="n">
        <v>1</v>
      </c>
      <c r="Y62" s="145" t="n">
        <v>1</v>
      </c>
      <c r="Z62" s="146" t="n">
        <v>25</v>
      </c>
      <c r="AA62" s="147" t="n"/>
      <c r="AB62" s="147" t="n"/>
      <c r="AC62" s="33" t="n"/>
    </row>
    <row r="63" ht="15.75" customHeight="1">
      <c r="C63" s="78" t="n"/>
      <c r="D63" s="80" t="inlineStr">
        <is>
          <t>Volume totale:</t>
        </is>
      </c>
      <c r="E63" s="307">
        <f t="array" ref="E63">SUMPRODUCT((E59:E61*F59:F61)*G59:G61)</f>
        <v/>
      </c>
      <c r="H63" s="364" t="n"/>
      <c r="I63" s="306" t="n"/>
      <c r="J63" s="306" t="n"/>
      <c r="K63" s="307">
        <f t="array" ref="K63">SUMPRODUCT((K59:K61*L59:L61)*M59:M61)</f>
        <v/>
      </c>
      <c r="N63" s="364" t="n"/>
      <c r="O63" s="306" t="n"/>
      <c r="P63" s="306" t="n"/>
      <c r="Q63" s="307">
        <f t="array" ref="Q63">SUMPRODUCT((Q59:Q61*R59:R61)*S59:S61)</f>
        <v/>
      </c>
      <c r="T63" s="364" t="n"/>
      <c r="U63" s="306" t="n"/>
      <c r="V63" s="306" t="n"/>
      <c r="W63" s="307">
        <f t="array" ref="W63">SUMPRODUCT((W59:W61*X59:X61)*Y59:Y61)</f>
        <v/>
      </c>
      <c r="Z63" s="364" t="n"/>
      <c r="AA63" s="306" t="n"/>
      <c r="AB63" s="306" t="n"/>
      <c r="AC63" s="33" t="n"/>
    </row>
    <row r="64" ht="15.6" customHeight="1">
      <c r="C64" s="78" t="n"/>
      <c r="D64" s="80" t="n"/>
      <c r="E64" s="81" t="n"/>
      <c r="F64" s="306" t="n"/>
      <c r="G64" s="306" t="n"/>
      <c r="H64" s="307" t="n"/>
      <c r="I64" s="306" t="n"/>
      <c r="J64" s="306" t="n"/>
      <c r="K64" s="306" t="n"/>
      <c r="L64" s="306" t="n"/>
      <c r="M64" s="306" t="n"/>
      <c r="N64" s="307" t="n"/>
      <c r="O64" s="306" t="n"/>
      <c r="P64" s="306" t="n"/>
      <c r="Q64" s="306" t="n"/>
      <c r="R64" s="306" t="n"/>
      <c r="S64" s="306" t="n"/>
      <c r="T64" s="307" t="n"/>
      <c r="U64" s="306" t="n"/>
      <c r="V64" s="306" t="n"/>
      <c r="W64" s="81" t="n"/>
      <c r="X64" s="306" t="n"/>
      <c r="Y64" s="306" t="n"/>
      <c r="Z64" s="307" t="n"/>
      <c r="AA64" s="306" t="n"/>
      <c r="AB64" s="306" t="n"/>
      <c r="AC64" s="48" t="n"/>
    </row>
    <row r="65" ht="15.6" customHeight="1">
      <c r="C65" s="78" t="n"/>
      <c r="D65" s="80" t="inlineStr">
        <is>
          <t xml:space="preserve">Recupero:  </t>
        </is>
      </c>
      <c r="E65" s="323" t="inlineStr">
        <is>
          <t xml:space="preserve"> Tra le ripetizioni 12" - No tra stacchi					</t>
        </is>
      </c>
      <c r="H65" s="364" t="n"/>
      <c r="I65" s="308" t="n"/>
      <c r="J65" s="308" t="n"/>
      <c r="K65" s="323" t="inlineStr">
        <is>
          <t xml:space="preserve"> Tra le ripetizioni 12" - No tra stacchi					</t>
        </is>
      </c>
      <c r="N65" s="364" t="n"/>
      <c r="O65" s="308" t="n"/>
      <c r="P65" s="308" t="n"/>
      <c r="Q65" s="323" t="inlineStr">
        <is>
          <t xml:space="preserve"> Tra le ripetizioni 12" - No tra stacchi					</t>
        </is>
      </c>
      <c r="T65" s="364" t="n"/>
      <c r="U65" s="308" t="n"/>
      <c r="V65" s="308" t="n"/>
      <c r="W65" s="323" t="inlineStr">
        <is>
          <t xml:space="preserve"> Tra le ripetizioni 12" - No tra stacchi					</t>
        </is>
      </c>
      <c r="Z65" s="364" t="n"/>
      <c r="AA65" s="322" t="n"/>
      <c r="AB65" s="322" t="n"/>
      <c r="AC65" s="37" t="n"/>
    </row>
    <row r="66" ht="15.6" customHeight="1">
      <c r="C66" s="78" t="n"/>
      <c r="D66" s="80" t="n"/>
      <c r="E66" s="309" t="inlineStr">
        <is>
          <t xml:space="preserve"> Tra le serie 2'+</t>
        </is>
      </c>
      <c r="H66" s="364" t="n"/>
      <c r="I66" s="308" t="n"/>
      <c r="J66" s="308" t="n"/>
      <c r="K66" s="309" t="inlineStr">
        <is>
          <t xml:space="preserve"> Tra le serie 2'+</t>
        </is>
      </c>
      <c r="N66" s="364" t="n"/>
      <c r="O66" s="308" t="n"/>
      <c r="P66" s="308" t="n"/>
      <c r="Q66" s="309" t="inlineStr">
        <is>
          <t xml:space="preserve"> Tra le serie 2'+</t>
        </is>
      </c>
      <c r="T66" s="364" t="n"/>
      <c r="U66" s="308" t="n"/>
      <c r="V66" s="308" t="n"/>
      <c r="W66" s="309" t="inlineStr">
        <is>
          <t xml:space="preserve"> Tra le serie 2'+</t>
        </is>
      </c>
      <c r="Z66" s="364" t="n"/>
      <c r="AA66" s="308" t="n"/>
      <c r="AB66" s="308" t="n"/>
      <c r="AC66" s="37" t="n"/>
    </row>
    <row r="67" ht="15.75" customHeight="1">
      <c r="C67" s="78" t="n"/>
      <c r="D67" s="81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9" t="n"/>
    </row>
    <row r="68" ht="15.75" customHeight="1">
      <c r="C68" s="78" t="n"/>
      <c r="D68" s="81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9" t="n"/>
    </row>
    <row r="69" ht="15.75" customHeight="1">
      <c r="C69" s="78" t="n"/>
      <c r="D69" s="81" t="inlineStr">
        <is>
          <t xml:space="preserve">1RM stacco da terra </t>
        </is>
      </c>
      <c r="E69" s="38" t="n">
        <v>51</v>
      </c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9" t="n"/>
    </row>
    <row r="70" ht="15.75" customHeight="1">
      <c r="C70" s="78" t="n"/>
      <c r="D70" s="81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9" t="n"/>
    </row>
    <row r="71" ht="14.45" customHeight="1">
      <c r="C71" s="78" t="n"/>
      <c r="D71" s="310" t="inlineStr">
        <is>
          <t>Esegui le sospensioni senza arrivare mai allo sfinimento (tranne nell'AMRAP), nel caso siano facili aumenta la zavorra</t>
        </is>
      </c>
      <c r="X71" s="40" t="n"/>
      <c r="Y71" s="40" t="n"/>
      <c r="Z71" s="40" t="n"/>
      <c r="AA71" s="40" t="n"/>
      <c r="AB71" s="40" t="n"/>
      <c r="AC71" s="41" t="n"/>
    </row>
    <row r="72" ht="14.45" customHeight="1">
      <c r="C72" s="78" t="n"/>
      <c r="D72" s="310" t="inlineStr">
        <is>
          <t>Esegui l'AMRAP entrambi i giorni di allenamento recuperando 3' prima di farlo</t>
        </is>
      </c>
      <c r="R72" s="310" t="n"/>
      <c r="S72" s="310" t="n"/>
      <c r="T72" s="310" t="n"/>
      <c r="U72" s="310" t="n"/>
      <c r="V72" s="310" t="n"/>
      <c r="W72" s="310" t="n"/>
      <c r="X72" s="40" t="n"/>
      <c r="Y72" s="40" t="n"/>
      <c r="Z72" s="40" t="n"/>
      <c r="AA72" s="40" t="n"/>
      <c r="AB72" s="40" t="n"/>
      <c r="AC72" s="41" t="n"/>
    </row>
    <row r="73" ht="15.75" customHeight="1" thickBot="1">
      <c r="C73" s="82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325" t="n">
        <v>45481</v>
      </c>
      <c r="Z73" s="9" t="n"/>
      <c r="AA73" s="9" t="n"/>
      <c r="AB73" s="9" t="n"/>
      <c r="AC73" s="365" t="n"/>
    </row>
    <row r="74" ht="15.75" customHeight="1" thickTop="1">
      <c r="C74" s="327" t="n"/>
      <c r="D74" s="84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42" t="n"/>
      <c r="X74" s="42" t="n"/>
      <c r="Y74" s="42" t="n"/>
      <c r="Z74" s="42" t="n"/>
      <c r="AA74" s="42" t="n"/>
      <c r="AB74" s="42" t="n"/>
      <c r="AC74" s="42" t="n"/>
    </row>
    <row r="75">
      <c r="C75" s="327" t="n"/>
      <c r="D75" s="84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</row>
    <row r="76"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</row>
    <row r="77"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</row>
    <row r="78" ht="16.5" customHeight="1" thickBot="1">
      <c r="C78" s="25" t="inlineStr">
        <is>
          <t>WEEK 9-12</t>
        </is>
      </c>
      <c r="D78" s="81" t="n"/>
      <c r="E78" s="12" t="n"/>
      <c r="F78" s="12" t="n"/>
      <c r="G78" s="27" t="n"/>
      <c r="H78" s="27" t="n"/>
      <c r="I78" s="141" t="n"/>
      <c r="J78" s="141" t="n"/>
      <c r="K78" s="12" t="n"/>
      <c r="L78" s="326">
        <f>$L$3</f>
        <v/>
      </c>
      <c r="M78" s="9" t="n"/>
      <c r="N78" s="28" t="n"/>
      <c r="O78" s="28" t="n"/>
      <c r="P78" s="28" t="n"/>
      <c r="Q78" s="28" t="n"/>
      <c r="R78" s="12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338">
        <f>$AC$3</f>
        <v/>
      </c>
    </row>
    <row r="79" ht="40.15" customHeight="1" thickBot="1" thickTop="1">
      <c r="C79" s="317" t="n"/>
      <c r="D79" s="360" t="n"/>
      <c r="E79" s="360" t="n"/>
      <c r="F79" s="360" t="n"/>
      <c r="G79" s="360" t="n"/>
      <c r="H79" s="360" t="n"/>
      <c r="I79" s="360" t="n"/>
      <c r="J79" s="360" t="n"/>
      <c r="K79" s="360" t="n"/>
      <c r="L79" s="360" t="n"/>
      <c r="M79" s="360" t="n"/>
      <c r="N79" s="360" t="n"/>
      <c r="O79" s="360" t="n"/>
      <c r="P79" s="360" t="n"/>
      <c r="Q79" s="360" t="n"/>
      <c r="R79" s="360" t="n"/>
      <c r="S79" s="360" t="n"/>
      <c r="T79" s="360" t="n"/>
      <c r="U79" s="360" t="n"/>
      <c r="V79" s="360" t="n"/>
      <c r="W79" s="360" t="n"/>
      <c r="X79" s="360" t="n"/>
      <c r="Y79" s="360" t="n"/>
      <c r="Z79" s="320">
        <f>$AC$4</f>
        <v/>
      </c>
      <c r="AA79" s="360" t="n"/>
      <c r="AB79" s="360" t="n"/>
      <c r="AC79" s="362" t="n"/>
    </row>
    <row r="80" ht="18" customHeight="1" thickBot="1" thickTop="1">
      <c r="C80" s="361" t="inlineStr">
        <is>
          <t>DATA - SOSPENSIONI</t>
        </is>
      </c>
      <c r="D80" s="360" t="n"/>
      <c r="E80" s="360" t="n"/>
      <c r="F80" s="360" t="n"/>
      <c r="G80" s="360" t="n"/>
      <c r="H80" s="360" t="n"/>
      <c r="I80" s="360" t="n"/>
      <c r="J80" s="360" t="n"/>
      <c r="K80" s="360" t="n"/>
      <c r="L80" s="360" t="n"/>
      <c r="M80" s="360" t="n"/>
      <c r="N80" s="360" t="n"/>
      <c r="O80" s="360" t="n"/>
      <c r="P80" s="360" t="n"/>
      <c r="Q80" s="360" t="n"/>
      <c r="R80" s="360" t="n"/>
      <c r="S80" s="360" t="n"/>
      <c r="T80" s="360" t="n"/>
      <c r="U80" s="360" t="n"/>
      <c r="V80" s="360" t="n"/>
      <c r="W80" s="360" t="n"/>
      <c r="X80" s="360" t="n"/>
      <c r="Y80" s="360" t="n"/>
      <c r="Z80" s="360" t="n"/>
      <c r="AA80" s="360" t="n"/>
      <c r="AB80" s="360" t="n"/>
      <c r="AC80" s="362" t="n"/>
    </row>
    <row r="81" ht="15.75" customHeight="1" thickTop="1">
      <c r="C81" s="75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  <c r="AA81" s="76" t="n"/>
      <c r="AB81" s="76" t="n"/>
      <c r="AC81" s="77" t="n"/>
    </row>
    <row r="82" ht="15.75" customHeight="1">
      <c r="C82" s="78" t="n"/>
      <c r="D82" s="81" t="inlineStr">
        <is>
          <t>FORZA</t>
        </is>
      </c>
      <c r="E82" s="315" t="inlineStr">
        <is>
          <t>Wk 9</t>
        </is>
      </c>
      <c r="H82" s="363" t="n"/>
      <c r="I82" s="314" t="n"/>
      <c r="J82" s="314" t="n"/>
      <c r="K82" s="321" t="inlineStr">
        <is>
          <t>Wk 10</t>
        </is>
      </c>
      <c r="N82" s="363" t="n"/>
      <c r="O82" s="314" t="n"/>
      <c r="P82" s="314" t="n"/>
      <c r="Q82" s="321" t="inlineStr">
        <is>
          <t>Wk 11</t>
        </is>
      </c>
      <c r="T82" s="363" t="n"/>
      <c r="U82" s="314" t="n"/>
      <c r="V82" s="314" t="n"/>
      <c r="W82" s="321" t="inlineStr">
        <is>
          <t>Wk 12</t>
        </is>
      </c>
      <c r="Z82" s="363" t="n"/>
      <c r="AA82" s="314" t="n"/>
      <c r="AB82" s="314" t="n"/>
      <c r="AC82" s="48" t="n"/>
    </row>
    <row r="83" ht="15.75" customHeight="1">
      <c r="C83" s="78" t="n"/>
      <c r="D83" s="74" t="inlineStr">
        <is>
          <t>Esercizio</t>
        </is>
      </c>
      <c r="E83" s="95" t="inlineStr">
        <is>
          <t>TEMPO</t>
        </is>
      </c>
      <c r="F83" s="34" t="inlineStr">
        <is>
          <t>REP</t>
        </is>
      </c>
      <c r="G83" s="95" t="inlineStr">
        <is>
          <t>SET</t>
        </is>
      </c>
      <c r="H83" s="73" t="inlineStr">
        <is>
          <t>CARICO</t>
        </is>
      </c>
      <c r="I83" s="140" t="inlineStr">
        <is>
          <t>Rest</t>
        </is>
      </c>
      <c r="J83" s="140" t="inlineStr">
        <is>
          <t>TUT es</t>
        </is>
      </c>
      <c r="K83" s="95" t="inlineStr">
        <is>
          <t>TEMPO</t>
        </is>
      </c>
      <c r="L83" s="34" t="inlineStr">
        <is>
          <t>REP</t>
        </is>
      </c>
      <c r="M83" s="95" t="inlineStr">
        <is>
          <t>SET</t>
        </is>
      </c>
      <c r="N83" s="73" t="inlineStr">
        <is>
          <t>CARICO</t>
        </is>
      </c>
      <c r="O83" s="140" t="inlineStr">
        <is>
          <t>Rest</t>
        </is>
      </c>
      <c r="P83" s="140" t="inlineStr">
        <is>
          <t>TUT es</t>
        </is>
      </c>
      <c r="Q83" s="95" t="inlineStr">
        <is>
          <t>TEMPO</t>
        </is>
      </c>
      <c r="R83" s="34" t="inlineStr">
        <is>
          <t>REP</t>
        </is>
      </c>
      <c r="S83" s="95" t="inlineStr">
        <is>
          <t>SET</t>
        </is>
      </c>
      <c r="T83" s="73" t="inlineStr">
        <is>
          <t>CARICO</t>
        </is>
      </c>
      <c r="U83" s="140" t="inlineStr">
        <is>
          <t>Rest</t>
        </is>
      </c>
      <c r="V83" s="140" t="inlineStr">
        <is>
          <t>TUT es</t>
        </is>
      </c>
      <c r="W83" s="95" t="inlineStr">
        <is>
          <t>TEMPO</t>
        </is>
      </c>
      <c r="X83" s="34" t="inlineStr">
        <is>
          <t>REP</t>
        </is>
      </c>
      <c r="Y83" s="95" t="inlineStr">
        <is>
          <t>SET</t>
        </is>
      </c>
      <c r="Z83" s="73" t="inlineStr">
        <is>
          <t>CARICO</t>
        </is>
      </c>
      <c r="AA83" s="140" t="inlineStr">
        <is>
          <t>Rest</t>
        </is>
      </c>
      <c r="AB83" s="140" t="inlineStr">
        <is>
          <t>TUT es</t>
        </is>
      </c>
      <c r="AC83" s="33" t="n"/>
    </row>
    <row r="84" ht="15.75" customHeight="1">
      <c r="C84" s="78" t="n"/>
      <c r="D84" s="79" t="inlineStr">
        <is>
          <t>Sospensioni due mani</t>
        </is>
      </c>
      <c r="E84" s="94" t="n"/>
      <c r="F84" s="35" t="n"/>
      <c r="G84" s="94" t="n"/>
      <c r="H84" s="148" t="n"/>
      <c r="I84" s="306" t="n"/>
      <c r="J84" s="306">
        <f>(E84*F84)+(F84*I84)</f>
        <v/>
      </c>
      <c r="K84" s="94" t="n"/>
      <c r="L84" s="35" t="n"/>
      <c r="M84" s="94" t="n"/>
      <c r="N84" s="148" t="n"/>
      <c r="O84">
        <f>$I84</f>
        <v/>
      </c>
      <c r="P84" s="306">
        <f>(K84*L84)+(L84*O84)</f>
        <v/>
      </c>
      <c r="Q84" s="94" t="n"/>
      <c r="R84" s="35" t="n"/>
      <c r="S84" s="94" t="n"/>
      <c r="T84" s="148" t="n"/>
      <c r="U84">
        <f>$I84</f>
        <v/>
      </c>
      <c r="V84" s="306">
        <f>(Q84*R84)+(R84*U84)</f>
        <v/>
      </c>
      <c r="W84" s="94" t="n"/>
      <c r="X84" s="35" t="n"/>
      <c r="Y84" s="94" t="n"/>
      <c r="Z84" s="148" t="n"/>
      <c r="AA84">
        <f>$I84</f>
        <v/>
      </c>
      <c r="AB84" s="306">
        <f>(W84*X84)+(X84*AA84)</f>
        <v/>
      </c>
      <c r="AC84" s="33" t="n"/>
    </row>
    <row r="85" ht="16.15" customHeight="1">
      <c r="C85" s="78" t="n"/>
      <c r="D85" s="144" t="inlineStr">
        <is>
          <t>Sospensioni bidito</t>
        </is>
      </c>
      <c r="E85" s="145" t="n"/>
      <c r="F85" s="145" t="n"/>
      <c r="G85" s="145" t="n"/>
      <c r="H85" s="151" t="n"/>
      <c r="I85" s="147" t="n"/>
      <c r="J85" s="147">
        <f>(E85*F85)+(F85*I85)</f>
        <v/>
      </c>
      <c r="K85" s="145" t="n"/>
      <c r="L85" s="145" t="n"/>
      <c r="M85" s="145" t="n"/>
      <c r="N85" s="151" t="n"/>
      <c r="O85" s="150">
        <f>$I85</f>
        <v/>
      </c>
      <c r="P85" s="147">
        <f>(K85*L85)+(L85*O85)</f>
        <v/>
      </c>
      <c r="Q85" s="145" t="n"/>
      <c r="R85" s="145" t="n"/>
      <c r="S85" s="145" t="n"/>
      <c r="T85" s="151" t="n"/>
      <c r="U85" s="150">
        <f>$I85</f>
        <v/>
      </c>
      <c r="V85" s="147">
        <f>(Q85*R85)+(R85*U85)</f>
        <v/>
      </c>
      <c r="W85" s="145" t="n"/>
      <c r="X85" s="145" t="n"/>
      <c r="Y85" s="145" t="n"/>
      <c r="Z85" s="151" t="n"/>
      <c r="AA85" s="150">
        <f>$I85</f>
        <v/>
      </c>
      <c r="AB85" s="147">
        <f>(W85*X85)+(X85*AA85)</f>
        <v/>
      </c>
      <c r="AC85" s="33" t="n"/>
      <c r="AD85" s="25" t="n"/>
      <c r="AE85" s="25" t="n"/>
      <c r="AF85" s="25" t="n"/>
    </row>
    <row r="86" ht="15.75" customHeight="1">
      <c r="C86" s="78" t="n"/>
      <c r="D86" s="79" t="inlineStr">
        <is>
          <t>Sospensioni svase</t>
        </is>
      </c>
      <c r="E86" s="306" t="n"/>
      <c r="F86" s="94" t="n"/>
      <c r="G86" s="94" t="n"/>
      <c r="H86" s="148" t="n"/>
      <c r="I86" s="306" t="n"/>
      <c r="J86" s="306">
        <f>(E86*F86)+(F86*I86)</f>
        <v/>
      </c>
      <c r="K86" s="306" t="n"/>
      <c r="L86" s="94" t="n"/>
      <c r="M86" s="94" t="n"/>
      <c r="N86" s="148" t="n"/>
      <c r="O86">
        <f>$I86</f>
        <v/>
      </c>
      <c r="P86" s="306">
        <f>(K86*L86)+(L86*O86)</f>
        <v/>
      </c>
      <c r="Q86" s="306" t="n"/>
      <c r="R86" s="94" t="n"/>
      <c r="S86" s="94" t="n"/>
      <c r="T86" s="148" t="n"/>
      <c r="U86">
        <f>$I86</f>
        <v/>
      </c>
      <c r="V86" s="306">
        <f>(Q86*R86)+(R86*U86)</f>
        <v/>
      </c>
      <c r="W86" s="306" t="n"/>
      <c r="X86" s="94" t="n"/>
      <c r="Y86" s="94" t="n"/>
      <c r="Z86" s="148" t="n"/>
      <c r="AA86">
        <f>$I86</f>
        <v/>
      </c>
      <c r="AB86" s="306">
        <f>(W86*X86)+(X86*AA86)</f>
        <v/>
      </c>
      <c r="AC86" s="33" t="n"/>
      <c r="AD86" s="7" t="n"/>
    </row>
    <row r="87" ht="15.75" customHeight="1">
      <c r="C87" s="78" t="n"/>
      <c r="D87" s="144" t="inlineStr">
        <is>
          <t>Sospensione due mani</t>
        </is>
      </c>
      <c r="E87" s="178" t="inlineStr">
        <is>
          <t>AMRAP</t>
        </is>
      </c>
      <c r="F87" s="145" t="n">
        <v>1</v>
      </c>
      <c r="G87" s="145" t="n">
        <v>1</v>
      </c>
      <c r="H87" s="146" t="n"/>
      <c r="I87" s="147" t="n"/>
      <c r="J87" s="147" t="n"/>
      <c r="K87" s="178" t="inlineStr">
        <is>
          <t>AMRAP</t>
        </is>
      </c>
      <c r="L87" s="145" t="n">
        <v>1</v>
      </c>
      <c r="M87" s="145" t="n">
        <v>1</v>
      </c>
      <c r="N87" s="146" t="n"/>
      <c r="O87" s="147" t="n"/>
      <c r="P87" s="147" t="n"/>
      <c r="Q87" s="178" t="inlineStr">
        <is>
          <t>AMRAP</t>
        </is>
      </c>
      <c r="R87" s="145" t="n">
        <v>1</v>
      </c>
      <c r="S87" s="145" t="n">
        <v>1</v>
      </c>
      <c r="T87" s="146" t="n"/>
      <c r="U87" s="147" t="n"/>
      <c r="V87" s="147" t="n"/>
      <c r="W87" s="178" t="inlineStr">
        <is>
          <t>AMRAP</t>
        </is>
      </c>
      <c r="X87" s="145" t="n">
        <v>1</v>
      </c>
      <c r="Y87" s="145" t="n">
        <v>1</v>
      </c>
      <c r="Z87" s="146" t="n"/>
      <c r="AA87" s="147" t="n"/>
      <c r="AB87" s="147" t="n"/>
      <c r="AC87" s="33" t="n"/>
    </row>
    <row r="88" ht="15.75" customHeight="1">
      <c r="C88" s="78" t="n"/>
      <c r="D88" s="80" t="inlineStr">
        <is>
          <t>Volume totale:</t>
        </is>
      </c>
      <c r="E88" s="307">
        <f t="array" ref="E88">SUMPRODUCT((E84:E86*F84:F86)*G84:G86)</f>
        <v/>
      </c>
      <c r="H88" s="364" t="n"/>
      <c r="I88" s="306" t="n"/>
      <c r="J88" s="306" t="n"/>
      <c r="K88" s="307">
        <f t="array" ref="K88">SUMPRODUCT((K84:K86*L84:L86)*M84:M86)</f>
        <v/>
      </c>
      <c r="N88" s="364" t="n"/>
      <c r="O88" s="306" t="n"/>
      <c r="P88" s="306" t="n"/>
      <c r="Q88" s="307">
        <f t="array" ref="Q88">SUMPRODUCT((Q84:Q86*R84:R86)*S84:S86)</f>
        <v/>
      </c>
      <c r="T88" s="364" t="n"/>
      <c r="U88" s="306" t="n"/>
      <c r="V88" s="306" t="n"/>
      <c r="W88" s="307">
        <f t="array" ref="W88">SUMPRODUCT((W84:W86*X84:X86)*Y84:Y86)</f>
        <v/>
      </c>
      <c r="Z88" s="364" t="n"/>
      <c r="AA88" s="306" t="n"/>
      <c r="AB88" s="306" t="n"/>
      <c r="AC88" s="33" t="n"/>
    </row>
    <row r="89" ht="15.6" customHeight="1">
      <c r="C89" s="78" t="n"/>
      <c r="D89" s="80" t="n"/>
      <c r="E89" s="81" t="n"/>
      <c r="F89" s="306" t="n"/>
      <c r="G89" s="306" t="n"/>
      <c r="H89" s="307" t="n"/>
      <c r="I89" s="306" t="n"/>
      <c r="J89" s="306" t="n"/>
      <c r="K89" s="306" t="n"/>
      <c r="L89" s="306" t="n"/>
      <c r="M89" s="306" t="n"/>
      <c r="N89" s="307" t="n"/>
      <c r="O89" s="306" t="n"/>
      <c r="P89" s="306" t="n"/>
      <c r="Q89" s="306" t="n"/>
      <c r="R89" s="306" t="n"/>
      <c r="S89" s="306" t="n"/>
      <c r="T89" s="307" t="n"/>
      <c r="U89" s="306" t="n"/>
      <c r="V89" s="306" t="n"/>
      <c r="W89" s="81" t="n"/>
      <c r="X89" s="306" t="n"/>
      <c r="Y89" s="306" t="n"/>
      <c r="Z89" s="307" t="n"/>
      <c r="AA89" s="306" t="n"/>
      <c r="AB89" s="306" t="n"/>
      <c r="AC89" s="48" t="n"/>
    </row>
    <row r="90" ht="15.6" customHeight="1">
      <c r="C90" s="78" t="n"/>
      <c r="D90" s="80" t="inlineStr">
        <is>
          <t xml:space="preserve">Recupero:  </t>
        </is>
      </c>
      <c r="E90" s="309" t="inlineStr">
        <is>
          <t xml:space="preserve"> Tra le ripetizioni 8"
											</t>
        </is>
      </c>
      <c r="H90" s="364" t="n"/>
      <c r="I90" s="308" t="n"/>
      <c r="J90" s="308" t="n"/>
      <c r="K90" s="309" t="inlineStr">
        <is>
          <t xml:space="preserve"> Tra le ripetizioni 8"
											</t>
        </is>
      </c>
      <c r="N90" s="364" t="n"/>
      <c r="O90" s="308" t="n"/>
      <c r="P90" s="308" t="n"/>
      <c r="Q90" s="309" t="inlineStr">
        <is>
          <t xml:space="preserve"> Tra le ripetizioni 8"
											</t>
        </is>
      </c>
      <c r="T90" s="364" t="n"/>
      <c r="U90" s="308" t="n"/>
      <c r="V90" s="308" t="n"/>
      <c r="W90" s="309" t="inlineStr">
        <is>
          <t xml:space="preserve"> Tra le ripetizioni 8"
											</t>
        </is>
      </c>
      <c r="Z90" s="364" t="n"/>
      <c r="AA90" s="322" t="n"/>
      <c r="AB90" s="322" t="n"/>
      <c r="AC90" s="37" t="n"/>
    </row>
    <row r="91" ht="15.6" customHeight="1">
      <c r="C91" s="78" t="n"/>
      <c r="D91" s="80" t="n"/>
      <c r="E91" s="309" t="inlineStr">
        <is>
          <t xml:space="preserve"> Tra le serie 1'45"</t>
        </is>
      </c>
      <c r="H91" s="364" t="n"/>
      <c r="I91" s="308" t="n"/>
      <c r="J91" s="308" t="n"/>
      <c r="K91" s="309" t="inlineStr">
        <is>
          <t xml:space="preserve"> Tra le serie 1'45"</t>
        </is>
      </c>
      <c r="N91" s="364" t="n"/>
      <c r="O91" s="308" t="n"/>
      <c r="P91" s="308" t="n"/>
      <c r="Q91" s="309" t="inlineStr">
        <is>
          <t xml:space="preserve"> Tra le serie 1'45"</t>
        </is>
      </c>
      <c r="T91" s="364" t="n"/>
      <c r="U91" s="308" t="n"/>
      <c r="V91" s="308" t="n"/>
      <c r="W91" s="309" t="inlineStr">
        <is>
          <t xml:space="preserve"> Tra le serie 1'45"</t>
        </is>
      </c>
      <c r="Z91" s="364" t="n"/>
      <c r="AA91" s="308" t="n"/>
      <c r="AB91" s="308" t="n"/>
      <c r="AC91" s="37" t="n"/>
    </row>
    <row r="92" ht="15.75" customHeight="1">
      <c r="C92" s="78" t="n"/>
      <c r="D92" s="80" t="n"/>
      <c r="E92" s="308" t="n"/>
      <c r="F92" s="308" t="n"/>
      <c r="G92" s="308" t="n"/>
      <c r="H92" s="308" t="n"/>
      <c r="I92" s="308" t="n"/>
      <c r="J92" s="308" t="n"/>
      <c r="K92" s="308" t="n"/>
      <c r="L92" s="308" t="n"/>
      <c r="M92" s="308" t="n"/>
      <c r="N92" s="308" t="n"/>
      <c r="O92" s="308" t="n"/>
      <c r="P92" s="308" t="n"/>
      <c r="Q92" s="308" t="n"/>
      <c r="R92" s="308" t="n"/>
      <c r="S92" s="308" t="n"/>
      <c r="T92" s="308" t="n"/>
      <c r="U92" s="308" t="n"/>
      <c r="V92" s="308" t="n"/>
      <c r="W92" s="308" t="n"/>
      <c r="X92" s="308" t="n"/>
      <c r="Y92" s="308" t="n"/>
      <c r="Z92" s="308" t="n"/>
      <c r="AA92" s="308" t="n"/>
      <c r="AB92" s="308" t="n"/>
      <c r="AC92" s="37" t="n"/>
    </row>
    <row r="93" ht="15.75" customHeight="1">
      <c r="C93" s="78" t="n"/>
      <c r="D93" s="80" t="n"/>
      <c r="E93" s="308" t="n"/>
      <c r="F93" s="308" t="n"/>
      <c r="G93" s="308" t="n"/>
      <c r="H93" s="308" t="n"/>
      <c r="I93" s="308" t="n"/>
      <c r="J93" s="308" t="n"/>
      <c r="K93" s="308" t="n"/>
      <c r="L93" s="308" t="n"/>
      <c r="M93" s="308" t="n"/>
      <c r="N93" s="308" t="n"/>
      <c r="O93" s="308" t="n"/>
      <c r="P93" s="308" t="n"/>
      <c r="Q93" s="308" t="n"/>
      <c r="R93" s="308" t="n"/>
      <c r="S93" s="308" t="n"/>
      <c r="T93" s="308" t="n"/>
      <c r="U93" s="308" t="n"/>
      <c r="V93" s="308" t="n"/>
      <c r="W93" s="308" t="n"/>
      <c r="X93" s="308" t="n"/>
      <c r="Y93" s="308" t="n"/>
      <c r="Z93" s="308" t="n"/>
      <c r="AA93" s="308" t="n"/>
      <c r="AB93" s="308" t="n"/>
      <c r="AC93" s="37" t="n"/>
    </row>
    <row r="94" ht="15.75" customHeight="1">
      <c r="C94" s="78" t="n"/>
      <c r="D94" s="25" t="inlineStr">
        <is>
          <t>RESISTENZA</t>
        </is>
      </c>
      <c r="E94" s="315" t="inlineStr">
        <is>
          <t>Wk 9</t>
        </is>
      </c>
      <c r="H94" s="363" t="n"/>
      <c r="I94" s="314" t="n"/>
      <c r="J94" s="314" t="n"/>
      <c r="K94" s="321" t="inlineStr">
        <is>
          <t>Wk 10</t>
        </is>
      </c>
      <c r="N94" s="363" t="n"/>
      <c r="O94" s="314" t="n"/>
      <c r="P94" s="314" t="n"/>
      <c r="Q94" s="321" t="inlineStr">
        <is>
          <t>Wk 11</t>
        </is>
      </c>
      <c r="T94" s="363" t="n"/>
      <c r="U94" s="314" t="n"/>
      <c r="V94" s="314" t="n"/>
      <c r="W94" s="321" t="inlineStr">
        <is>
          <t>Wk 12</t>
        </is>
      </c>
      <c r="Z94" s="363" t="n"/>
      <c r="AA94" s="314" t="n"/>
      <c r="AB94" s="314" t="n"/>
      <c r="AC94" s="37" t="n"/>
    </row>
    <row r="95" ht="15.75" customHeight="1">
      <c r="C95" s="78" t="n"/>
      <c r="D95" s="74" t="inlineStr">
        <is>
          <t>Esercizio</t>
        </is>
      </c>
      <c r="E95" s="95" t="inlineStr">
        <is>
          <t>TEMPO</t>
        </is>
      </c>
      <c r="F95" s="34" t="inlineStr">
        <is>
          <t>REP</t>
        </is>
      </c>
      <c r="G95" s="95" t="inlineStr">
        <is>
          <t>SET</t>
        </is>
      </c>
      <c r="H95" s="73" t="inlineStr">
        <is>
          <t>CARICO</t>
        </is>
      </c>
      <c r="I95" s="140" t="inlineStr">
        <is>
          <t>Rest</t>
        </is>
      </c>
      <c r="J95" s="140" t="inlineStr">
        <is>
          <t>TUT es</t>
        </is>
      </c>
      <c r="K95" s="95" t="inlineStr">
        <is>
          <t>TEMPO</t>
        </is>
      </c>
      <c r="L95" s="34" t="inlineStr">
        <is>
          <t>REP</t>
        </is>
      </c>
      <c r="M95" s="95" t="inlineStr">
        <is>
          <t>SET</t>
        </is>
      </c>
      <c r="N95" s="73" t="inlineStr">
        <is>
          <t>CARICO</t>
        </is>
      </c>
      <c r="O95" s="140" t="inlineStr">
        <is>
          <t>Rest</t>
        </is>
      </c>
      <c r="P95" s="140" t="inlineStr">
        <is>
          <t>TUT es</t>
        </is>
      </c>
      <c r="Q95" s="95" t="inlineStr">
        <is>
          <t>TEMPO</t>
        </is>
      </c>
      <c r="R95" s="34" t="inlineStr">
        <is>
          <t>REP</t>
        </is>
      </c>
      <c r="S95" s="95" t="inlineStr">
        <is>
          <t>SET</t>
        </is>
      </c>
      <c r="T95" s="73" t="inlineStr">
        <is>
          <t>CARICO</t>
        </is>
      </c>
      <c r="U95" s="140" t="inlineStr">
        <is>
          <t>Rest</t>
        </is>
      </c>
      <c r="V95" s="140" t="inlineStr">
        <is>
          <t>TUT es</t>
        </is>
      </c>
      <c r="W95" s="95" t="inlineStr">
        <is>
          <t>TEMPO</t>
        </is>
      </c>
      <c r="X95" s="34" t="inlineStr">
        <is>
          <t>REP</t>
        </is>
      </c>
      <c r="Y95" s="95" t="inlineStr">
        <is>
          <t>SET</t>
        </is>
      </c>
      <c r="Z95" s="73" t="inlineStr">
        <is>
          <t>CARICO</t>
        </is>
      </c>
      <c r="AA95" s="140" t="inlineStr">
        <is>
          <t>Rest</t>
        </is>
      </c>
      <c r="AB95" s="140" t="inlineStr">
        <is>
          <t>TUT es</t>
        </is>
      </c>
      <c r="AC95" s="37" t="n"/>
    </row>
    <row r="96" ht="15.75" customHeight="1">
      <c r="C96" s="78" t="n"/>
      <c r="D96" s="79" t="inlineStr">
        <is>
          <t>1) Sospensione due mani multipresa</t>
        </is>
      </c>
      <c r="E96" s="94" t="n"/>
      <c r="F96" s="35" t="n"/>
      <c r="G96" s="94" t="n"/>
      <c r="H96" s="307" t="inlineStr">
        <is>
          <t>≥10</t>
        </is>
      </c>
      <c r="I96" t="n">
        <v>6</v>
      </c>
      <c r="J96" s="306">
        <f>(E96*F96)+(F96*I96)</f>
        <v/>
      </c>
      <c r="K96" s="94" t="n"/>
      <c r="L96" s="35" t="n"/>
      <c r="M96" s="94" t="n"/>
      <c r="N96" s="307" t="n"/>
      <c r="O96">
        <f>$I96</f>
        <v/>
      </c>
      <c r="P96" s="306">
        <f>(K96*L96)+(L96*O96)</f>
        <v/>
      </c>
      <c r="Q96" s="94" t="n"/>
      <c r="R96" s="35" t="n"/>
      <c r="S96" s="94" t="n"/>
      <c r="T96" s="307" t="n"/>
      <c r="U96">
        <f>$I96</f>
        <v/>
      </c>
      <c r="V96" s="306">
        <f>(Q96*R96)+(R96*U96)</f>
        <v/>
      </c>
      <c r="W96" s="94" t="n"/>
      <c r="X96" s="35" t="n"/>
      <c r="Y96" s="94" t="n"/>
      <c r="Z96" s="307" t="n"/>
      <c r="AA96">
        <f>$I96</f>
        <v/>
      </c>
      <c r="AB96" s="306">
        <f>(W96*X96)+(X96*AA96)</f>
        <v/>
      </c>
      <c r="AC96" s="37" t="n"/>
    </row>
    <row r="97" ht="15.75" customHeight="1">
      <c r="C97" s="78" t="n"/>
      <c r="D97" s="144" t="inlineStr">
        <is>
          <t>2) Sospensioni due mani multipresa</t>
        </is>
      </c>
      <c r="E97" s="145" t="n"/>
      <c r="F97" s="149" t="n"/>
      <c r="G97" s="145" t="n"/>
      <c r="H97" s="146" t="inlineStr">
        <is>
          <t>≥-10</t>
        </is>
      </c>
      <c r="I97" s="150" t="n">
        <v>5</v>
      </c>
      <c r="J97" s="147">
        <f>(E97*F97)+(F97*I97)</f>
        <v/>
      </c>
      <c r="K97" s="145" t="n"/>
      <c r="L97" s="149" t="n"/>
      <c r="M97" s="145" t="n"/>
      <c r="N97" s="146" t="n"/>
      <c r="O97" s="150">
        <f>$I97</f>
        <v/>
      </c>
      <c r="P97" s="147">
        <f>(K97*L97)+(L97*O97)</f>
        <v/>
      </c>
      <c r="Q97" s="145" t="n"/>
      <c r="R97" s="149" t="n"/>
      <c r="S97" s="145" t="n"/>
      <c r="T97" s="146" t="n"/>
      <c r="U97" s="150">
        <f>$I97</f>
        <v/>
      </c>
      <c r="V97" s="147">
        <f>(Q97*R97)+(R97*U97)</f>
        <v/>
      </c>
      <c r="W97" s="145" t="n"/>
      <c r="X97" s="149" t="n"/>
      <c r="Y97" s="145" t="n"/>
      <c r="Z97" s="146" t="n"/>
      <c r="AA97" s="150">
        <f>$I97</f>
        <v/>
      </c>
      <c r="AB97" s="147">
        <f>(W97*X97)+(X97*AA97)</f>
        <v/>
      </c>
      <c r="AC97" s="37" t="n"/>
    </row>
    <row r="98" ht="15.75" customHeight="1">
      <c r="C98" s="78" t="n"/>
      <c r="D98" s="142" t="inlineStr">
        <is>
          <t>Volume totale:</t>
        </is>
      </c>
      <c r="E98" s="307">
        <f t="array" ref="E98">SUMPRODUCT((E96:E97*F96:F97)*G96:G97)</f>
        <v/>
      </c>
      <c r="H98" s="364" t="n"/>
      <c r="J98" s="306">
        <f>(E98*F98)+(F98*I98)</f>
        <v/>
      </c>
      <c r="K98" s="307">
        <f t="array" ref="K98">SUMPRODUCT((K96:K97*L96:L97)*M96:M97)</f>
        <v/>
      </c>
      <c r="N98" s="364" t="n"/>
      <c r="P98" s="306">
        <f>(K98*L98)+(L98*O98)</f>
        <v/>
      </c>
      <c r="Q98" s="307">
        <f t="array" ref="Q98">SUMPRODUCT((Q96:Q97*R96:R97)*S96:S97)</f>
        <v/>
      </c>
      <c r="T98" s="364" t="n"/>
      <c r="V98" s="306">
        <f>(Q98*R98)+(R98*U98)</f>
        <v/>
      </c>
      <c r="W98" s="307">
        <f t="array" ref="W98">SUMPRODUCT((W96:W97*X96:X97)*Y96:Y97)</f>
        <v/>
      </c>
      <c r="Z98" s="364" t="n"/>
      <c r="AB98" s="306">
        <f>(W98*X98)+(X98*AA98)</f>
        <v/>
      </c>
      <c r="AC98" s="37" t="n"/>
    </row>
    <row r="99" ht="15.75" customHeight="1">
      <c r="C99" s="78" t="n"/>
      <c r="D99" s="143" t="n"/>
      <c r="E99" s="81" t="n"/>
      <c r="F99" s="306" t="n"/>
      <c r="G99" s="306" t="n"/>
      <c r="H99" s="307" t="n"/>
      <c r="K99" s="306" t="n"/>
      <c r="L99" s="306" t="n"/>
      <c r="M99" s="306" t="n"/>
      <c r="N99" s="307" t="n"/>
      <c r="Q99" s="306" t="n"/>
      <c r="R99" s="306" t="n"/>
      <c r="S99" s="306" t="n"/>
      <c r="T99" s="307" t="n"/>
      <c r="W99" s="81" t="n"/>
      <c r="X99" s="306" t="n"/>
      <c r="Y99" s="306" t="n"/>
      <c r="Z99" s="307" t="n"/>
      <c r="AC99" s="37" t="n"/>
    </row>
    <row r="100" ht="15.6" customHeight="1">
      <c r="C100" s="78" t="n"/>
      <c r="D100" s="142" t="inlineStr">
        <is>
          <t xml:space="preserve">Recupero:  </t>
        </is>
      </c>
      <c r="E100" s="331" t="inlineStr">
        <is>
          <t xml:space="preserve"> 1) Tra le ripetizioni 6"
											</t>
        </is>
      </c>
      <c r="H100" s="364" t="n"/>
      <c r="K100" s="331" t="inlineStr">
        <is>
          <t xml:space="preserve"> 1) Tra le ripetizioni 6"
											</t>
        </is>
      </c>
      <c r="N100" s="364" t="n"/>
      <c r="Q100" s="331" t="inlineStr">
        <is>
          <t xml:space="preserve"> 1) Tra le ripetizioni 6"
											</t>
        </is>
      </c>
      <c r="T100" s="364" t="n"/>
      <c r="W100" s="331" t="inlineStr">
        <is>
          <t xml:space="preserve"> 1) Tra le ripetizioni 6"
											</t>
        </is>
      </c>
      <c r="Z100" s="364" t="n"/>
      <c r="AC100" s="37" t="n"/>
    </row>
    <row r="101" ht="15.6" customHeight="1">
      <c r="C101" s="78" t="n"/>
      <c r="D101" s="80" t="n"/>
      <c r="E101" s="329" t="inlineStr">
        <is>
          <t xml:space="preserve"> Tra le serie 4-6'</t>
        </is>
      </c>
      <c r="H101" s="364" t="n"/>
      <c r="K101" s="329" t="inlineStr">
        <is>
          <t xml:space="preserve"> Tra le serie 4-6'</t>
        </is>
      </c>
      <c r="N101" s="364" t="n"/>
      <c r="Q101" s="329" t="inlineStr">
        <is>
          <t xml:space="preserve"> Tra le serie 4-6'</t>
        </is>
      </c>
      <c r="T101" s="364" t="n"/>
      <c r="W101" s="329" t="inlineStr">
        <is>
          <t xml:space="preserve"> Tra le serie 4-6'</t>
        </is>
      </c>
      <c r="Z101" s="364" t="n"/>
      <c r="AC101" s="37" t="n"/>
    </row>
    <row r="102" ht="15.6" customHeight="1">
      <c r="C102" s="78" t="n"/>
      <c r="D102" s="80" t="n"/>
      <c r="E102" s="329" t="inlineStr">
        <is>
          <t xml:space="preserve"> 2) Tra le ripetizioni 5"
											</t>
        </is>
      </c>
      <c r="H102" s="364" t="n"/>
      <c r="K102" s="329" t="inlineStr">
        <is>
          <t xml:space="preserve"> 2) Tra le ripetizioni 5"
											</t>
        </is>
      </c>
      <c r="N102" s="364" t="n"/>
      <c r="Q102" s="329" t="inlineStr">
        <is>
          <t xml:space="preserve"> 2) Tra le ripetizioni 5"
											</t>
        </is>
      </c>
      <c r="T102" s="364" t="n"/>
      <c r="W102" s="329" t="inlineStr">
        <is>
          <t xml:space="preserve"> 2) Tra le ripetizioni 5"
											</t>
        </is>
      </c>
      <c r="Z102" s="364" t="n"/>
      <c r="AC102" s="37" t="n"/>
    </row>
    <row r="103" ht="15.6" customHeight="1">
      <c r="C103" s="78" t="n"/>
      <c r="D103" s="80" t="n"/>
      <c r="E103" s="329" t="inlineStr">
        <is>
          <t xml:space="preserve"> Tra le serie 5-7'</t>
        </is>
      </c>
      <c r="H103" s="364" t="n"/>
      <c r="K103" s="329" t="inlineStr">
        <is>
          <t xml:space="preserve"> Tra le serie 5-7'</t>
        </is>
      </c>
      <c r="N103" s="364" t="n"/>
      <c r="Q103" s="329" t="inlineStr">
        <is>
          <t xml:space="preserve"> Tra le serie 5-7'</t>
        </is>
      </c>
      <c r="T103" s="364" t="n"/>
      <c r="W103" s="329" t="inlineStr">
        <is>
          <t xml:space="preserve"> Tra le serie 5-7'</t>
        </is>
      </c>
      <c r="Z103" s="364" t="n"/>
      <c r="AC103" s="39" t="n"/>
    </row>
    <row r="104" ht="15.6" customHeight="1">
      <c r="C104" s="78" t="n"/>
      <c r="D104" s="80" t="n"/>
      <c r="E104" s="308" t="n"/>
      <c r="F104" s="308" t="n"/>
      <c r="G104" s="308" t="n"/>
      <c r="H104" s="308" t="n"/>
      <c r="I104" s="308" t="n"/>
      <c r="J104" s="308" t="n"/>
      <c r="K104" s="308" t="n"/>
      <c r="L104" s="308" t="n"/>
      <c r="M104" s="308" t="n"/>
      <c r="N104" s="308" t="n"/>
      <c r="O104" s="308" t="n"/>
      <c r="P104" s="308" t="n"/>
      <c r="Q104" s="308" t="n"/>
      <c r="R104" s="308" t="n"/>
      <c r="S104" s="308" t="n"/>
      <c r="T104" s="308" t="n"/>
      <c r="U104" s="308" t="n"/>
      <c r="V104" s="308" t="n"/>
      <c r="W104" s="308" t="n"/>
      <c r="X104" s="308" t="n"/>
      <c r="Y104" s="308" t="n"/>
      <c r="Z104" s="308" t="n"/>
      <c r="AA104" s="308" t="n"/>
      <c r="AB104" s="308" t="n"/>
      <c r="AC104" s="37" t="n"/>
    </row>
    <row r="105" ht="14.45" customHeight="1">
      <c r="C105" s="78" t="n"/>
      <c r="D105" s="310" t="inlineStr">
        <is>
          <t>Esegui le sospensioni senza arrivare mai allo sfinimento (tranne nell'AMRAP), nel caso siano facili aumenta la zavorra</t>
        </is>
      </c>
      <c r="X105" s="40" t="n"/>
      <c r="Y105" s="40" t="n"/>
      <c r="Z105" s="40" t="n"/>
      <c r="AA105" s="40" t="n"/>
      <c r="AB105" s="40" t="n"/>
      <c r="AC105" s="41" t="n"/>
    </row>
    <row r="106" ht="14.45" customHeight="1">
      <c r="C106" s="78" t="n"/>
      <c r="D106" s="310" t="inlineStr">
        <is>
          <t>Esegui l'AMRAP entrambi i giorni di allenamento recuperando 3' prima di farlo</t>
        </is>
      </c>
      <c r="S106" s="310" t="n"/>
      <c r="T106" s="310" t="n"/>
      <c r="U106" s="310" t="n"/>
      <c r="V106" s="310" t="n"/>
      <c r="W106" s="310" t="n"/>
      <c r="X106" s="40" t="n"/>
      <c r="Y106" s="40" t="n"/>
      <c r="Z106" s="40" t="n"/>
      <c r="AA106" s="40" t="n"/>
      <c r="AB106" s="40" t="n"/>
      <c r="AC106" s="41" t="n"/>
    </row>
    <row r="107" ht="15.75" customHeight="1" thickBot="1">
      <c r="C107" s="82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325">
        <f>$Y$35+56</f>
        <v/>
      </c>
      <c r="Z107" s="9" t="n"/>
      <c r="AA107" s="9" t="n"/>
      <c r="AB107" s="9" t="n"/>
      <c r="AC107" s="365" t="n"/>
    </row>
    <row r="108" ht="15.75" customHeight="1" thickTop="1"/>
  </sheetData>
  <mergeCells count="125">
    <mergeCell ref="K14:N14"/>
    <mergeCell ref="W52:Z52"/>
    <mergeCell ref="K7:N7"/>
    <mergeCell ref="K65:N65"/>
    <mergeCell ref="Q101:T101"/>
    <mergeCell ref="W103:Z103"/>
    <mergeCell ref="L3:M3"/>
    <mergeCell ref="C4:Y4"/>
    <mergeCell ref="Q7:T7"/>
    <mergeCell ref="D106:R106"/>
    <mergeCell ref="L39:M39"/>
    <mergeCell ref="E98:H98"/>
    <mergeCell ref="C40:Y40"/>
    <mergeCell ref="K88:N88"/>
    <mergeCell ref="W65:Z65"/>
    <mergeCell ref="E88:H88"/>
    <mergeCell ref="E82:H82"/>
    <mergeCell ref="E63:H63"/>
    <mergeCell ref="K90:N90"/>
    <mergeCell ref="W63:Z63"/>
    <mergeCell ref="Q88:T88"/>
    <mergeCell ref="W50:Z50"/>
    <mergeCell ref="Q63:T63"/>
    <mergeCell ref="D71:W71"/>
    <mergeCell ref="Q50:T50"/>
    <mergeCell ref="E65:H65"/>
    <mergeCell ref="W91:Z91"/>
    <mergeCell ref="W100:Z100"/>
    <mergeCell ref="Y107:AC107"/>
    <mergeCell ref="D33:W33"/>
    <mergeCell ref="Q90:T90"/>
    <mergeCell ref="E27:H27"/>
    <mergeCell ref="E101:H101"/>
    <mergeCell ref="W102:Z102"/>
    <mergeCell ref="Q27:T27"/>
    <mergeCell ref="Z79:AC79"/>
    <mergeCell ref="E91:H91"/>
    <mergeCell ref="K53:N53"/>
    <mergeCell ref="E100:H100"/>
    <mergeCell ref="Q17:T17"/>
    <mergeCell ref="K101:N101"/>
    <mergeCell ref="C41:AC41"/>
    <mergeCell ref="K103:N103"/>
    <mergeCell ref="W101:Z101"/>
    <mergeCell ref="W14:Z14"/>
    <mergeCell ref="Q66:T66"/>
    <mergeCell ref="W28:Z28"/>
    <mergeCell ref="E102:H102"/>
    <mergeCell ref="Q53:T53"/>
    <mergeCell ref="E14:H14"/>
    <mergeCell ref="W55:Z55"/>
    <mergeCell ref="Q102:T102"/>
    <mergeCell ref="Q55:T55"/>
    <mergeCell ref="K63:N63"/>
    <mergeCell ref="K50:N50"/>
    <mergeCell ref="K43:N43"/>
    <mergeCell ref="W16:Z16"/>
    <mergeCell ref="E90:H90"/>
    <mergeCell ref="K52:N52"/>
    <mergeCell ref="W90:Z90"/>
    <mergeCell ref="C5:AC5"/>
    <mergeCell ref="W43:Z43"/>
    <mergeCell ref="K27:N27"/>
    <mergeCell ref="K98:N98"/>
    <mergeCell ref="Q65:T65"/>
    <mergeCell ref="W27:Z27"/>
    <mergeCell ref="K17:N17"/>
    <mergeCell ref="D34:K34"/>
    <mergeCell ref="K82:N82"/>
    <mergeCell ref="E16:H16"/>
    <mergeCell ref="W17:Z17"/>
    <mergeCell ref="E25:H25"/>
    <mergeCell ref="W82:Z82"/>
    <mergeCell ref="K19:N19"/>
    <mergeCell ref="C80:AC80"/>
    <mergeCell ref="E66:H66"/>
    <mergeCell ref="K28:N28"/>
    <mergeCell ref="E53:H53"/>
    <mergeCell ref="Z40:AC40"/>
    <mergeCell ref="Q91:T91"/>
    <mergeCell ref="W53:Z53"/>
    <mergeCell ref="D105:W105"/>
    <mergeCell ref="Y35:AC35"/>
    <mergeCell ref="Q100:T100"/>
    <mergeCell ref="E50:H50"/>
    <mergeCell ref="W19:Z19"/>
    <mergeCell ref="K25:N25"/>
    <mergeCell ref="W25:Z25"/>
    <mergeCell ref="E55:H55"/>
    <mergeCell ref="Q28:T28"/>
    <mergeCell ref="E52:H52"/>
    <mergeCell ref="Q52:T52"/>
    <mergeCell ref="K55:N55"/>
    <mergeCell ref="E94:H94"/>
    <mergeCell ref="E103:H103"/>
    <mergeCell ref="Q103:T103"/>
    <mergeCell ref="W94:Z94"/>
    <mergeCell ref="Q14:T14"/>
    <mergeCell ref="Q94:T94"/>
    <mergeCell ref="C38:D38"/>
    <mergeCell ref="W7:Z7"/>
    <mergeCell ref="Q98:T98"/>
    <mergeCell ref="E7:H7"/>
    <mergeCell ref="W98:Z98"/>
    <mergeCell ref="K66:N66"/>
    <mergeCell ref="L78:M78"/>
    <mergeCell ref="W88:Z88"/>
    <mergeCell ref="C79:Y79"/>
    <mergeCell ref="Y73:AC73"/>
    <mergeCell ref="Q16:T16"/>
    <mergeCell ref="E43:H43"/>
    <mergeCell ref="Q25:T25"/>
    <mergeCell ref="K16:N16"/>
    <mergeCell ref="Q43:T43"/>
    <mergeCell ref="E17:H17"/>
    <mergeCell ref="D72:Q72"/>
    <mergeCell ref="K91:N91"/>
    <mergeCell ref="Q82:T82"/>
    <mergeCell ref="K100:N100"/>
    <mergeCell ref="E19:H19"/>
    <mergeCell ref="K94:N94"/>
    <mergeCell ref="E28:H28"/>
    <mergeCell ref="Q19:T19"/>
    <mergeCell ref="W66:Z66"/>
    <mergeCell ref="K102:N102"/>
  </mergeCells>
  <pageMargins left="0.2362204724409449" right="0.2362204724409449" top="0.7480314960629921" bottom="0.7480314960629921" header="0.3149606299212598" footer="0.3149606299212598"/>
  <pageSetup orientation="portrait" paperSize="9" scale="11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2026-04-16T10:15:03Z</dcterms:modified>
  <cp:lastModifiedBy>Samuele Malavasi</cp:lastModifiedBy>
</cp:coreProperties>
</file>