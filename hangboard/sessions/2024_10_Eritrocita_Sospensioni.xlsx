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color rgb="FF0070C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8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2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vertical="center"/>
    </xf>
    <xf numFmtId="0" fontId="37" fillId="7" borderId="0" applyAlignment="1" pivotButton="0" quotePrefix="0" xfId="0">
      <alignment horizontal="center" vertical="center"/>
    </xf>
    <xf numFmtId="0" fontId="37" fillId="7" borderId="0" applyAlignment="1" pivotButton="0" quotePrefix="1" xfId="0">
      <alignment horizontal="center" vertical="center"/>
    </xf>
    <xf numFmtId="0" fontId="37" fillId="7" borderId="0" applyAlignment="1" pivotButton="0" quotePrefix="0" xfId="0">
      <alignment horizontal="right" vertical="center"/>
    </xf>
    <xf numFmtId="0" fontId="37" fillId="7" borderId="1" applyAlignment="1" pivotButton="0" quotePrefix="0" xfId="0">
      <alignment horizontal="center" vertical="center"/>
    </xf>
    <xf numFmtId="9" fontId="37" fillId="7" borderId="0" applyAlignment="1" pivotButton="0" quotePrefix="1" xfId="0">
      <alignment horizontal="center" vertical="center"/>
    </xf>
    <xf numFmtId="0" fontId="37" fillId="0" borderId="0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16" fontId="37" fillId="0" borderId="0" applyAlignment="1" pivotButton="0" quotePrefix="1" xfId="0">
      <alignment horizontal="center" vertical="center"/>
    </xf>
    <xf numFmtId="0" fontId="37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right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0" applyAlignment="1" pivotButton="0" quotePrefix="1" xfId="0">
      <alignment horizontal="left" vertical="center"/>
    </xf>
    <xf numFmtId="0" fontId="37" fillId="0" borderId="0" applyAlignment="1" pivotButton="0" quotePrefix="0" xfId="0">
      <alignment vertical="center" wrapText="1"/>
    </xf>
    <xf numFmtId="49" fontId="37" fillId="7" borderId="0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0" fontId="0" fillId="7" borderId="52" applyAlignment="1" pivotButton="0" quotePrefix="0" xfId="0">
      <alignment horizontal="center" vertical="center" wrapText="1"/>
    </xf>
    <xf numFmtId="0" fontId="26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8" fillId="0" borderId="1" applyAlignment="1" pivotButton="0" quotePrefix="0" xfId="0">
      <alignment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12" applyAlignment="1" pivotButton="0" quotePrefix="0" xfId="0">
      <alignment vertical="center"/>
    </xf>
    <xf numFmtId="0" fontId="39" fillId="7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 wrapText="1"/>
    </xf>
    <xf numFmtId="9" fontId="36" fillId="7" borderId="0" applyAlignment="1" pivotButton="0" quotePrefix="1" xfId="0">
      <alignment vertical="center"/>
    </xf>
    <xf numFmtId="0" fontId="40" fillId="0" borderId="1" applyAlignment="1" pivotButton="0" quotePrefix="0" xfId="3">
      <alignment vertical="center"/>
    </xf>
    <xf numFmtId="0" fontId="40" fillId="7" borderId="1" applyAlignment="1" pivotButton="0" quotePrefix="0" xfId="3">
      <alignment vertical="center"/>
    </xf>
    <xf numFmtId="0" fontId="41" fillId="17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21" borderId="5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1" fillId="17" borderId="0" applyAlignment="1" pivotButton="0" quotePrefix="0" xfId="0">
      <alignment horizontal="right" vertical="center"/>
    </xf>
    <xf numFmtId="0" fontId="0" fillId="21" borderId="51" applyAlignment="1" pivotButton="0" quotePrefix="0" xfId="0">
      <alignment horizontal="center" vertical="center" wrapText="1"/>
    </xf>
    <xf numFmtId="0" fontId="0" fillId="21" borderId="52" applyAlignment="1" pivotButton="0" quotePrefix="0" xfId="0">
      <alignment horizontal="center" vertical="center" wrapText="1"/>
    </xf>
    <xf numFmtId="20" fontId="0" fillId="0" borderId="0" applyAlignment="1" pivotButton="0" quotePrefix="0" xfId="0">
      <alignment horizontal="right" vertical="center"/>
    </xf>
    <xf numFmtId="0" fontId="0" fillId="21" borderId="5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7" borderId="0" applyAlignment="1" pivotButton="0" quotePrefix="0" xfId="0">
      <alignment vertical="center"/>
    </xf>
    <xf numFmtId="0" fontId="45" fillId="0" borderId="0" applyAlignment="1" pivotButton="0" quotePrefix="0" xfId="3">
      <alignment vertical="center"/>
    </xf>
    <xf numFmtId="0" fontId="46" fillId="0" borderId="0" applyAlignment="1" pivotButton="0" quotePrefix="0" xfId="0">
      <alignment vertical="center" wrapText="1"/>
    </xf>
    <xf numFmtId="0" fontId="46" fillId="7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6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35" pivotButton="0" quotePrefix="0" xfId="0"/>
    <xf numFmtId="0" fontId="8" fillId="0" borderId="68" applyAlignment="1" pivotButton="0" quotePrefix="0" xfId="0">
      <alignment horizontal="left" vertical="center"/>
    </xf>
    <xf numFmtId="0" fontId="8" fillId="0" borderId="68" applyAlignment="1" pivotButton="0" quotePrefix="0" xfId="0">
      <alignment horizontal="left" vertical="center" wrapText="1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67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10</col>
      <colOff>221660</colOff>
      <row>3</row>
      <rowOff>33867</rowOff>
    </from>
    <to>
      <col>13</col>
      <colOff>226695</colOff>
      <row>3</row>
      <rowOff>474134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210" b="25595"/>
        <a:stretch xmlns:a="http://schemas.openxmlformats.org/drawingml/2006/main">
          <a:fillRect/>
        </a:stretch>
      </blipFill>
      <spPr>
        <a:xfrm xmlns:a="http://schemas.openxmlformats.org/drawingml/2006/main">
          <a:off x="6190660" y="609600"/>
          <a:ext cx="1275035" cy="440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234995</colOff>
      <row>25</row>
      <rowOff>27709</rowOff>
    </from>
    <to>
      <col>13</col>
      <colOff>243840</colOff>
      <row>25</row>
      <rowOff>473652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7343" b="26651"/>
        <a:stretch xmlns:a="http://schemas.openxmlformats.org/drawingml/2006/main">
          <a:fillRect/>
        </a:stretch>
      </blipFill>
      <spPr>
        <a:xfrm xmlns:a="http://schemas.openxmlformats.org/drawingml/2006/main">
          <a:off x="5215704" y="7474527"/>
          <a:ext cx="1297318" cy="4364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217850</colOff>
      <row>60</row>
      <rowOff>20782</rowOff>
    </from>
    <to>
      <col>13</col>
      <colOff>211455</colOff>
      <row>60</row>
      <rowOff>478675</rowOff>
    </to>
    <pic>
      <nvPicPr>
        <cNvPr id="8" name="Immagine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4959" b="27026"/>
        <a:stretch xmlns:a="http://schemas.openxmlformats.org/drawingml/2006/main">
          <a:fillRect/>
        </a:stretch>
      </blipFill>
      <spPr>
        <a:xfrm xmlns:a="http://schemas.openxmlformats.org/drawingml/2006/main">
          <a:off x="5198559" y="14706600"/>
          <a:ext cx="1282078" cy="4502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/>
  </sheetPr>
  <dimension ref="C3:AI89"/>
  <sheetViews>
    <sheetView zoomScale="90" zoomScaleNormal="90" workbookViewId="0">
      <selection activeCell="AG24" sqref="AG24"/>
    </sheetView>
  </sheetViews>
  <sheetFormatPr baseColWidth="8" defaultRowHeight="15"/>
  <cols>
    <col width="4" customWidth="1" min="3" max="3"/>
    <col width="25.7109375" bestFit="1" customWidth="1" min="4" max="4"/>
    <col width="6.28515625" customWidth="1" min="5" max="8"/>
    <col hidden="1" outlineLevel="1" width="6.28515625" customWidth="1" min="9" max="9"/>
    <col hidden="1" outlineLevel="1" width="8.7109375" customWidth="1" min="10" max="10"/>
    <col collapsed="1" width="6.28515625" customWidth="1" min="11" max="11"/>
    <col width="6.28515625" customWidth="1" min="12" max="14"/>
    <col hidden="1" outlineLevel="1" width="6.28515625" customWidth="1" min="15" max="16"/>
    <col collapsed="1" width="6.28515625" customWidth="1" min="17" max="17"/>
    <col width="6.28515625" customWidth="1" min="18" max="20"/>
    <col hidden="1" outlineLevel="1" width="6.28515625" customWidth="1" min="21" max="22"/>
    <col collapsed="1" width="6.28515625" customWidth="1" min="23" max="23"/>
    <col width="6.28515625" customWidth="1" min="24" max="26"/>
    <col hidden="1" outlineLevel="1" width="6.28515625" customWidth="1" min="27" max="28"/>
    <col collapsed="1" width="4.85546875" customWidth="1" min="29" max="29"/>
    <col width="4.85546875" customWidth="1" min="30" max="32"/>
    <col width="22.85546875" customWidth="1" min="33" max="33"/>
    <col width="4.85546875" bestFit="1" customWidth="1" min="34" max="34"/>
    <col width="4.28515625" bestFit="1" customWidth="1" min="35" max="35"/>
    <col width="3.5703125" customWidth="1" min="36" max="36"/>
    <col width="17.28515625" bestFit="1" customWidth="1" min="37" max="37"/>
    <col width="4.7109375" customWidth="1" min="38" max="53"/>
    <col width="3.140625" customWidth="1" min="54" max="54"/>
  </cols>
  <sheetData>
    <row r="3" ht="16.5" customHeight="1" thickBot="1">
      <c r="C3" s="25" t="inlineStr">
        <is>
          <t>WEEK 1-4</t>
        </is>
      </c>
      <c r="D3" s="26" t="n"/>
      <c r="G3" s="27" t="n"/>
      <c r="H3" s="27" t="n"/>
      <c r="I3" s="141" t="n"/>
      <c r="J3" s="141" t="n"/>
      <c r="L3" s="349" t="inlineStr">
        <is>
          <t>AUTUNNO 2024</t>
        </is>
      </c>
      <c r="M3" s="9" t="n"/>
      <c r="N3" s="28" t="n"/>
      <c r="O3" s="28" t="n"/>
      <c r="P3" s="28" t="n"/>
      <c r="Q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370" t="inlineStr">
        <is>
          <t>SAMUELE MALAVASI</t>
        </is>
      </c>
      <c r="AG3" s="42" t="n"/>
      <c r="AH3" s="42" t="n"/>
      <c r="AI3" s="42" t="n"/>
    </row>
    <row r="4" ht="40.15" customHeight="1" thickBot="1" thickTop="1">
      <c r="C4" s="338" t="n"/>
      <c r="D4" s="379" t="n"/>
      <c r="E4" s="379" t="n"/>
      <c r="F4" s="379" t="n"/>
      <c r="G4" s="379" t="n"/>
      <c r="H4" s="379" t="n"/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79" t="n"/>
      <c r="S4" s="379" t="n"/>
      <c r="T4" s="379" t="n"/>
      <c r="U4" s="379" t="n"/>
      <c r="V4" s="379" t="n"/>
      <c r="W4" s="379" t="n"/>
      <c r="X4" s="379" t="n"/>
      <c r="Y4" s="379" t="n"/>
      <c r="AA4" s="177" t="n"/>
      <c r="AB4" s="177" t="n"/>
      <c r="AC4" s="178" t="inlineStr">
        <is>
          <t xml:space="preserve">S M </t>
        </is>
      </c>
      <c r="AD4" s="7" t="n"/>
      <c r="AG4" s="44" t="n"/>
      <c r="AH4" s="44" t="n"/>
      <c r="AI4" s="44" t="n"/>
    </row>
    <row r="5" ht="18.6" customHeight="1" thickBot="1" thickTop="1">
      <c r="C5" s="380" t="inlineStr">
        <is>
          <t>2024_10_SOSPENSIONI</t>
        </is>
      </c>
      <c r="D5" s="379" t="n"/>
      <c r="E5" s="379" t="n"/>
      <c r="F5" s="379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79" t="n"/>
      <c r="W5" s="379" t="n"/>
      <c r="X5" s="379" t="n"/>
      <c r="Y5" s="379" t="n"/>
      <c r="Z5" s="379" t="n"/>
      <c r="AA5" s="379" t="n"/>
      <c r="AB5" s="379" t="n"/>
      <c r="AC5" s="381" t="n"/>
    </row>
    <row r="6" ht="14.45" customHeight="1" thickTop="1">
      <c r="C6" s="75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7" t="n"/>
      <c r="AG6" s="42" t="n"/>
      <c r="AH6" s="42" t="n"/>
      <c r="AI6" s="42" t="n"/>
    </row>
    <row r="7" ht="15.75" customHeight="1">
      <c r="C7" s="78" t="n"/>
      <c r="D7" s="25" t="inlineStr">
        <is>
          <t>FORZA</t>
        </is>
      </c>
      <c r="E7" s="337" t="inlineStr">
        <is>
          <t>Wk 1</t>
        </is>
      </c>
      <c r="H7" s="382" t="n"/>
      <c r="I7" s="337" t="n"/>
      <c r="J7" s="337" t="n"/>
      <c r="K7" s="337" t="inlineStr">
        <is>
          <t>Wk 2</t>
        </is>
      </c>
      <c r="N7" s="382" t="n"/>
      <c r="O7" s="337" t="n"/>
      <c r="P7" s="337" t="n"/>
      <c r="Q7" s="337" t="inlineStr">
        <is>
          <t>Wk 3</t>
        </is>
      </c>
      <c r="T7" s="382" t="n"/>
      <c r="U7" s="337" t="n"/>
      <c r="V7" s="337" t="n"/>
      <c r="W7" s="337" t="inlineStr">
        <is>
          <t>Wk 4</t>
        </is>
      </c>
      <c r="Z7" s="382" t="n"/>
      <c r="AA7" s="336" t="n"/>
      <c r="AB7" s="336" t="n"/>
      <c r="AC7" s="33" t="n"/>
    </row>
    <row r="8" ht="15.75" customHeight="1">
      <c r="C8" s="78" t="n"/>
      <c r="D8" s="74" t="inlineStr">
        <is>
          <t>Esercizio</t>
        </is>
      </c>
      <c r="E8" s="95" t="inlineStr">
        <is>
          <t>TEMPO</t>
        </is>
      </c>
      <c r="F8" s="34" t="inlineStr">
        <is>
          <t>REP</t>
        </is>
      </c>
      <c r="G8" s="95" t="inlineStr">
        <is>
          <t>SET</t>
        </is>
      </c>
      <c r="H8" s="73" t="inlineStr">
        <is>
          <t>CARICO</t>
        </is>
      </c>
      <c r="I8" s="140" t="inlineStr">
        <is>
          <t>Rest</t>
        </is>
      </c>
      <c r="J8" s="140" t="inlineStr">
        <is>
          <t>TUT es</t>
        </is>
      </c>
      <c r="K8" s="95" t="inlineStr">
        <is>
          <t>TEMPO</t>
        </is>
      </c>
      <c r="L8" s="34" t="inlineStr">
        <is>
          <t>REP</t>
        </is>
      </c>
      <c r="M8" s="95" t="inlineStr">
        <is>
          <t>SET</t>
        </is>
      </c>
      <c r="N8" s="73" t="inlineStr">
        <is>
          <t>CARICO</t>
        </is>
      </c>
      <c r="O8" s="140" t="inlineStr">
        <is>
          <t>Rest</t>
        </is>
      </c>
      <c r="P8" s="140" t="inlineStr">
        <is>
          <t>TUT es</t>
        </is>
      </c>
      <c r="Q8" s="95" t="inlineStr">
        <is>
          <t>TEMPO</t>
        </is>
      </c>
      <c r="R8" s="34" t="inlineStr">
        <is>
          <t>REP</t>
        </is>
      </c>
      <c r="S8" s="95" t="inlineStr">
        <is>
          <t>SET</t>
        </is>
      </c>
      <c r="T8" s="73" t="inlineStr">
        <is>
          <t>CARICO</t>
        </is>
      </c>
      <c r="U8" s="140" t="inlineStr">
        <is>
          <t>Rest</t>
        </is>
      </c>
      <c r="V8" s="140" t="inlineStr">
        <is>
          <t>TUT es</t>
        </is>
      </c>
      <c r="W8" s="95" t="inlineStr">
        <is>
          <t>TEMPO</t>
        </is>
      </c>
      <c r="X8" s="34" t="inlineStr">
        <is>
          <t>REP</t>
        </is>
      </c>
      <c r="Y8" s="95" t="inlineStr">
        <is>
          <t>SET</t>
        </is>
      </c>
      <c r="Z8" s="73" t="inlineStr">
        <is>
          <t>CARICO</t>
        </is>
      </c>
      <c r="AA8" s="140" t="inlineStr">
        <is>
          <t>Rest</t>
        </is>
      </c>
      <c r="AB8" s="140" t="inlineStr">
        <is>
          <t>TUT es</t>
        </is>
      </c>
      <c r="AC8" s="33" t="n"/>
    </row>
    <row r="9" ht="16.15" customHeight="1">
      <c r="C9" s="78" t="n"/>
      <c r="D9" s="79" t="inlineStr">
        <is>
          <t>Stacchi da terra 20mm</t>
        </is>
      </c>
      <c r="E9" s="94" t="inlineStr">
        <is>
          <t>X</t>
        </is>
      </c>
      <c r="F9" s="35" t="n">
        <v>4</v>
      </c>
      <c r="G9" s="94" t="n">
        <v>3</v>
      </c>
      <c r="H9" s="251" t="inlineStr">
        <is>
          <t>RPE8,5</t>
        </is>
      </c>
      <c r="I9" s="323" t="n"/>
      <c r="J9" s="323">
        <f>(E9*F9)+(F9*I9)</f>
        <v/>
      </c>
      <c r="K9" s="94" t="inlineStr">
        <is>
          <t>X</t>
        </is>
      </c>
      <c r="L9" s="35" t="n">
        <v>3</v>
      </c>
      <c r="M9" s="94" t="n">
        <v>4</v>
      </c>
      <c r="N9" s="251" t="inlineStr">
        <is>
          <t>RPE8</t>
        </is>
      </c>
      <c r="O9">
        <f>$I9</f>
        <v/>
      </c>
      <c r="P9" s="323">
        <f>(K9*L9)+(L9*O9)</f>
        <v/>
      </c>
      <c r="Q9" s="94" t="inlineStr">
        <is>
          <t>X</t>
        </is>
      </c>
      <c r="R9" s="35" t="n">
        <v>2</v>
      </c>
      <c r="S9" s="94" t="n">
        <v>4</v>
      </c>
      <c r="T9" s="251" t="inlineStr">
        <is>
          <t>RPE8,5</t>
        </is>
      </c>
      <c r="U9">
        <f>$I9</f>
        <v/>
      </c>
      <c r="V9" s="323">
        <f>(Q9*R9)+(R9*U9)</f>
        <v/>
      </c>
      <c r="W9" s="94" t="inlineStr">
        <is>
          <t>X</t>
        </is>
      </c>
      <c r="X9" s="35" t="n">
        <v>1</v>
      </c>
      <c r="Y9" s="94" t="n">
        <v>1</v>
      </c>
      <c r="Z9" s="251" t="inlineStr">
        <is>
          <t>RPE10</t>
        </is>
      </c>
      <c r="AA9">
        <f>$I9</f>
        <v/>
      </c>
      <c r="AB9" s="323">
        <f>(W9*X9)+(X9*AA9)</f>
        <v/>
      </c>
      <c r="AC9" s="253" t="inlineStr">
        <is>
          <t>Dita attive - manda video a diversi carichi per verificare assetto dita</t>
        </is>
      </c>
      <c r="AD9" s="25" t="n"/>
      <c r="AE9" s="25" t="n"/>
      <c r="AF9" s="25" t="n"/>
    </row>
    <row r="10" ht="15.75" customHeight="1">
      <c r="C10" s="78" t="n"/>
      <c r="D10" s="144" t="inlineStr">
        <is>
          <t>Sospensioni svase</t>
        </is>
      </c>
      <c r="E10" s="145" t="n">
        <v>6</v>
      </c>
      <c r="F10" s="145" t="n">
        <v>3</v>
      </c>
      <c r="G10" s="145" t="n">
        <v>3</v>
      </c>
      <c r="H10" s="151" t="n"/>
      <c r="I10" s="147" t="n"/>
      <c r="J10" s="147">
        <f>(E10*F10)+(F10*I10)</f>
        <v/>
      </c>
      <c r="K10" s="145" t="n">
        <v>6</v>
      </c>
      <c r="L10" s="145" t="n">
        <v>3</v>
      </c>
      <c r="M10" s="145" t="n">
        <v>4</v>
      </c>
      <c r="N10" s="151" t="n"/>
      <c r="O10" s="150">
        <f>$I10</f>
        <v/>
      </c>
      <c r="P10" s="147">
        <f>(K10*L10)+(L10*O10)</f>
        <v/>
      </c>
      <c r="Q10" s="145" t="n">
        <v>6</v>
      </c>
      <c r="R10" s="145" t="n">
        <v>3</v>
      </c>
      <c r="S10" s="145" t="n">
        <v>3</v>
      </c>
      <c r="T10" s="151" t="n"/>
      <c r="U10" s="150">
        <f>$I10</f>
        <v/>
      </c>
      <c r="V10" s="147">
        <f>(Q10*R10)+(R10*U10)</f>
        <v/>
      </c>
      <c r="W10" s="145" t="n">
        <v>6</v>
      </c>
      <c r="X10" s="145" t="n">
        <v>3</v>
      </c>
      <c r="Y10" s="145" t="n">
        <v>2</v>
      </c>
      <c r="Z10" s="151" t="n"/>
      <c r="AA10" s="150">
        <f>$I10</f>
        <v/>
      </c>
      <c r="AB10" s="147">
        <f>(W10*X10)+(X10*AA10)</f>
        <v/>
      </c>
      <c r="AC10" s="33" t="n"/>
      <c r="AD10" s="7" t="n"/>
    </row>
    <row r="11" ht="15.75" customHeight="1">
      <c r="C11" s="78" t="n"/>
      <c r="D11" s="79" t="inlineStr">
        <is>
          <t>Stacchi pinze</t>
        </is>
      </c>
      <c r="E11" s="323" t="inlineStr">
        <is>
          <t>X</t>
        </is>
      </c>
      <c r="F11" s="94" t="n">
        <v>8</v>
      </c>
      <c r="G11" s="94" t="n">
        <v>2</v>
      </c>
      <c r="H11" s="148" t="n"/>
      <c r="I11" s="323" t="n"/>
      <c r="J11" s="323">
        <f>(E11*F11)+(F11*I11)</f>
        <v/>
      </c>
      <c r="K11" s="323" t="inlineStr">
        <is>
          <t>X</t>
        </is>
      </c>
      <c r="L11" s="94" t="n">
        <v>8</v>
      </c>
      <c r="M11" s="94" t="n">
        <v>3</v>
      </c>
      <c r="N11" s="148" t="n"/>
      <c r="O11">
        <f>$I11</f>
        <v/>
      </c>
      <c r="P11" s="323">
        <f>(K11*L11)+(L11*O11)</f>
        <v/>
      </c>
      <c r="Q11" s="323" t="inlineStr">
        <is>
          <t>X</t>
        </is>
      </c>
      <c r="R11" s="94" t="n">
        <v>10</v>
      </c>
      <c r="S11" s="94" t="n">
        <v>3</v>
      </c>
      <c r="T11" s="148" t="n"/>
      <c r="U11">
        <f>$I11</f>
        <v/>
      </c>
      <c r="V11" s="323">
        <f>(Q11*R11)+(R11*U11)</f>
        <v/>
      </c>
      <c r="W11" s="323" t="inlineStr">
        <is>
          <t>X</t>
        </is>
      </c>
      <c r="X11" s="94" t="n">
        <v>10</v>
      </c>
      <c r="Y11" s="94" t="n">
        <v>2</v>
      </c>
      <c r="Z11" s="148" t="n"/>
      <c r="AA11">
        <f>$I11</f>
        <v/>
      </c>
      <c r="AB11" s="323">
        <f>(W11*X11)+(X11*AA11)</f>
        <v/>
      </c>
      <c r="AC11" s="33" t="n"/>
    </row>
    <row r="12" ht="15.75" customHeight="1">
      <c r="C12" s="78" t="n"/>
      <c r="D12" s="144" t="inlineStr">
        <is>
          <t>Sospensioni due mani 20mm</t>
        </is>
      </c>
      <c r="E12" s="170" t="inlineStr">
        <is>
          <t>AMRAP</t>
        </is>
      </c>
      <c r="F12" s="145" t="n">
        <v>1</v>
      </c>
      <c r="G12" s="145" t="n">
        <v>1</v>
      </c>
      <c r="H12" s="252" t="n">
        <v>25</v>
      </c>
      <c r="I12" s="147" t="n"/>
      <c r="J12" s="147" t="n"/>
      <c r="K12" s="170" t="inlineStr">
        <is>
          <t>AMRAP</t>
        </is>
      </c>
      <c r="L12" s="145" t="n">
        <v>1</v>
      </c>
      <c r="M12" s="145" t="n">
        <v>1</v>
      </c>
      <c r="N12" s="252" t="n">
        <v>25</v>
      </c>
      <c r="O12" s="147" t="n"/>
      <c r="P12" s="147" t="n"/>
      <c r="Q12" s="170" t="inlineStr">
        <is>
          <t>AMRAP</t>
        </is>
      </c>
      <c r="R12" s="145" t="n">
        <v>1</v>
      </c>
      <c r="S12" s="145" t="n">
        <v>1</v>
      </c>
      <c r="T12" s="252" t="n">
        <v>25</v>
      </c>
      <c r="U12" s="147" t="n"/>
      <c r="V12" s="147" t="n"/>
      <c r="W12" s="170" t="inlineStr">
        <is>
          <t>AMRAP</t>
        </is>
      </c>
      <c r="X12" s="145" t="n">
        <v>1</v>
      </c>
      <c r="Y12" s="145" t="n">
        <v>1</v>
      </c>
      <c r="Z12" s="252" t="n">
        <v>25</v>
      </c>
      <c r="AA12" s="147" t="n"/>
      <c r="AB12" s="147" t="n"/>
      <c r="AC12" s="33" t="n"/>
    </row>
    <row r="13" ht="15.75" customHeight="1">
      <c r="C13" s="78" t="n"/>
      <c r="D13" s="80" t="inlineStr">
        <is>
          <t>Volume totale:</t>
        </is>
      </c>
      <c r="E13" s="324">
        <f t="array" ref="E13">SUMPRODUCT((E9:E11*F9:F11)*G9:G11)</f>
        <v/>
      </c>
      <c r="H13" s="383" t="n"/>
      <c r="I13" s="323" t="n"/>
      <c r="J13" s="323" t="n"/>
      <c r="K13" s="324">
        <f t="array" ref="K13">SUMPRODUCT((K9:K11*L9:L11)*M9:M11)</f>
        <v/>
      </c>
      <c r="N13" s="383" t="n"/>
      <c r="O13" s="323" t="n"/>
      <c r="P13" s="323" t="n"/>
      <c r="Q13" s="324">
        <f t="array" ref="Q13">SUMPRODUCT((Q9:Q11*R9:R11)*S9:S11)</f>
        <v/>
      </c>
      <c r="T13" s="383" t="n"/>
      <c r="U13" s="323" t="n"/>
      <c r="V13" s="323" t="n"/>
      <c r="W13" s="324">
        <f t="array" ref="W13">SUMPRODUCT((W9:W11*X9:X11)*Y9:Y11)</f>
        <v/>
      </c>
      <c r="Z13" s="383" t="n"/>
      <c r="AA13" s="323" t="n"/>
      <c r="AB13" s="323" t="n"/>
      <c r="AC13" s="33" t="n"/>
    </row>
    <row r="14" ht="15.6" customHeight="1">
      <c r="C14" s="78" t="n"/>
      <c r="D14" s="80" t="n"/>
      <c r="E14" s="81" t="n"/>
      <c r="F14" s="323" t="n"/>
      <c r="G14" s="323" t="n"/>
      <c r="H14" s="324" t="n"/>
      <c r="I14" s="323" t="n"/>
      <c r="J14" s="323" t="n"/>
      <c r="K14" s="323" t="n"/>
      <c r="L14" s="323" t="n"/>
      <c r="M14" s="323" t="n"/>
      <c r="N14" s="324" t="n"/>
      <c r="O14" s="323" t="n"/>
      <c r="P14" s="323" t="n"/>
      <c r="Q14" s="323" t="n"/>
      <c r="R14" s="323" t="n"/>
      <c r="S14" s="323" t="n"/>
      <c r="T14" s="324" t="n"/>
      <c r="U14" s="323" t="n"/>
      <c r="V14" s="323" t="n"/>
      <c r="W14" s="81" t="n"/>
      <c r="X14" s="323" t="n"/>
      <c r="Y14" s="323" t="n"/>
      <c r="Z14" s="324" t="n"/>
      <c r="AA14" s="323" t="n"/>
      <c r="AB14" s="323" t="n"/>
      <c r="AC14" s="48" t="n"/>
    </row>
    <row r="15" ht="15.6" customHeight="1">
      <c r="C15" s="78" t="n"/>
      <c r="D15" s="80" t="inlineStr">
        <is>
          <t xml:space="preserve">Recupero:  </t>
        </is>
      </c>
      <c r="E15" s="327" t="inlineStr">
        <is>
          <t xml:space="preserve"> Tra le ripetizioni 12"							</t>
        </is>
      </c>
      <c r="H15" s="383" t="n"/>
      <c r="I15" s="328" t="n"/>
      <c r="J15" s="328" t="n"/>
      <c r="K15" s="327" t="inlineStr">
        <is>
          <t xml:space="preserve"> Tra le ripetizioni 12"							</t>
        </is>
      </c>
      <c r="N15" s="383" t="n"/>
      <c r="O15" s="384" t="inlineStr">
        <is>
          <t xml:space="preserve"> Tra le ripetizioni 12"							</t>
        </is>
      </c>
      <c r="V15" s="383" t="n"/>
      <c r="W15" s="327" t="inlineStr">
        <is>
          <t xml:space="preserve"> Tra le ripetizioni 12"							</t>
        </is>
      </c>
      <c r="Z15" s="383" t="n"/>
      <c r="AA15" s="326" t="n"/>
      <c r="AB15" s="326" t="n"/>
      <c r="AC15" s="37" t="n"/>
    </row>
    <row r="16" ht="15.6" customHeight="1">
      <c r="C16" s="78" t="n"/>
      <c r="D16" s="80" t="n"/>
      <c r="E16" s="329" t="inlineStr">
        <is>
          <t xml:space="preserve"> Tra le serie 2'++</t>
        </is>
      </c>
      <c r="H16" s="383" t="n"/>
      <c r="I16" s="328" t="n"/>
      <c r="J16" s="328" t="n"/>
      <c r="K16" s="329" t="inlineStr">
        <is>
          <t xml:space="preserve"> Tra le serie 2'++</t>
        </is>
      </c>
      <c r="N16" s="383" t="n"/>
      <c r="O16" s="385" t="inlineStr">
        <is>
          <t xml:space="preserve"> Tra le serie 2'++</t>
        </is>
      </c>
      <c r="V16" s="383" t="n"/>
      <c r="W16" s="329" t="inlineStr">
        <is>
          <t xml:space="preserve"> Tra le serie 2'++</t>
        </is>
      </c>
      <c r="Z16" s="383" t="n"/>
      <c r="AA16" s="328" t="n"/>
      <c r="AB16" s="328" t="n"/>
      <c r="AC16" s="37" t="n"/>
    </row>
    <row r="17" ht="15.75" customHeight="1">
      <c r="C17" s="78" t="n"/>
      <c r="D17" s="80" t="n"/>
      <c r="E17" s="328" t="n"/>
      <c r="F17" s="328" t="n"/>
      <c r="G17" s="328" t="n"/>
      <c r="H17" s="328" t="n"/>
      <c r="I17" s="328" t="n"/>
      <c r="J17" s="328" t="n"/>
      <c r="K17" s="328" t="n"/>
      <c r="L17" s="328" t="n"/>
      <c r="M17" s="328" t="n"/>
      <c r="N17" s="328" t="n"/>
      <c r="O17" s="328" t="n"/>
      <c r="P17" s="328" t="n"/>
      <c r="Q17" s="328" t="n"/>
      <c r="R17" s="328" t="n"/>
      <c r="S17" s="328" t="n"/>
      <c r="T17" s="328" t="n"/>
      <c r="U17" s="328" t="n"/>
      <c r="V17" s="328" t="n"/>
      <c r="W17" s="328" t="n"/>
      <c r="X17" s="328" t="n"/>
      <c r="Y17" s="328" t="n"/>
      <c r="Z17" s="328" t="n"/>
      <c r="AA17" s="328" t="n"/>
      <c r="AB17" s="328" t="n"/>
      <c r="AC17" s="37" t="n"/>
    </row>
    <row r="18" ht="15.75" customHeight="1">
      <c r="C18" s="78" t="n"/>
      <c r="D18" s="81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9" t="n"/>
    </row>
    <row r="19">
      <c r="C19" s="78" t="n"/>
      <c r="D19" s="348" t="inlineStr">
        <is>
          <t>Esegui le sospensioni senza arrivare mai allo sfinimento (tranne nell'AMRAP), nel caso siano facili aumenta la zavorra</t>
        </is>
      </c>
      <c r="X19" s="40" t="n"/>
      <c r="Y19" s="40" t="n"/>
      <c r="Z19" s="40" t="n"/>
      <c r="AA19" s="40" t="n"/>
      <c r="AB19" s="40" t="n"/>
      <c r="AC19" s="41" t="n"/>
    </row>
    <row r="20" ht="14.45" customHeight="1">
      <c r="C20" s="78" t="n"/>
      <c r="D20" s="348" t="inlineStr">
        <is>
          <t>Esegui l'AMRAP entrambi i giorni di allenamento recuperando 3' prima di farlo</t>
        </is>
      </c>
      <c r="L20" s="348" t="n"/>
      <c r="M20" s="348" t="n"/>
      <c r="N20" s="348" t="n"/>
      <c r="O20" s="348" t="n"/>
      <c r="P20" s="348" t="n"/>
      <c r="Q20" s="348" t="n"/>
      <c r="R20" s="348" t="n"/>
      <c r="S20" s="348" t="n"/>
      <c r="T20" s="348" t="n"/>
      <c r="U20" s="348" t="n"/>
      <c r="V20" s="348" t="n"/>
      <c r="W20" s="348" t="n"/>
      <c r="X20" s="40" t="n"/>
      <c r="Y20" s="40" t="n"/>
      <c r="Z20" s="40" t="n"/>
      <c r="AA20" s="40" t="n"/>
      <c r="AB20" s="40" t="n"/>
      <c r="AC20" s="41" t="n"/>
    </row>
    <row r="21" ht="15.75" customHeight="1" thickBot="1">
      <c r="C21" s="82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344" t="n">
        <v>45593</v>
      </c>
      <c r="Z21" s="9" t="n"/>
      <c r="AA21" s="9" t="n"/>
      <c r="AB21" s="9" t="n"/>
      <c r="AC21" s="386" t="n"/>
    </row>
    <row r="22" ht="15.75" customHeight="1" thickTop="1">
      <c r="C22" s="1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12" t="n"/>
      <c r="X22" s="12" t="n"/>
      <c r="Y22" s="12" t="n"/>
      <c r="Z22" s="12" t="n"/>
      <c r="AA22" s="12" t="n"/>
      <c r="AB22" s="12" t="n"/>
      <c r="AC22" s="12" t="n"/>
    </row>
    <row r="23">
      <c r="C23" s="12" t="n"/>
      <c r="D23" s="12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12" t="n"/>
      <c r="X23" s="12" t="n"/>
      <c r="Y23" s="12" t="n"/>
      <c r="Z23" s="12" t="n"/>
      <c r="AA23" s="12" t="n"/>
      <c r="AB23" s="12" t="n"/>
      <c r="AC23" s="12" t="n"/>
    </row>
    <row r="24" ht="15.6" customHeight="1">
      <c r="C24" s="350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</row>
    <row r="25" ht="15.6" customHeight="1" thickBot="1">
      <c r="C25" s="25" t="inlineStr">
        <is>
          <t>WEEK 5-8</t>
        </is>
      </c>
      <c r="D25" s="81" t="n"/>
      <c r="E25" s="12" t="n"/>
      <c r="F25" s="12" t="n"/>
      <c r="G25" s="27" t="n"/>
      <c r="H25" s="27" t="n"/>
      <c r="I25" s="141" t="n"/>
      <c r="J25" s="141" t="n"/>
      <c r="K25" s="12" t="n"/>
      <c r="L25" s="349">
        <f>$L$3</f>
        <v/>
      </c>
      <c r="M25" s="9" t="n"/>
      <c r="N25" s="28" t="n"/>
      <c r="O25" s="28" t="n"/>
      <c r="P25" s="28" t="n"/>
      <c r="Q25" s="28" t="n"/>
      <c r="R25" s="12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370">
        <f>$AC$3</f>
        <v/>
      </c>
    </row>
    <row r="26" ht="40.9" customHeight="1" thickBot="1" thickTop="1">
      <c r="C26" s="338" t="n"/>
      <c r="D26" s="379" t="n"/>
      <c r="E26" s="379" t="n"/>
      <c r="F26" s="379" t="n"/>
      <c r="G26" s="379" t="n"/>
      <c r="H26" s="379" t="n"/>
      <c r="I26" s="379" t="n"/>
      <c r="J26" s="379" t="n"/>
      <c r="K26" s="379" t="n"/>
      <c r="L26" s="379" t="n"/>
      <c r="M26" s="379" t="n"/>
      <c r="N26" s="379" t="n"/>
      <c r="O26" s="379" t="n"/>
      <c r="P26" s="379" t="n"/>
      <c r="Q26" s="379" t="n"/>
      <c r="R26" s="379" t="n"/>
      <c r="S26" s="379" t="n"/>
      <c r="T26" s="379" t="n"/>
      <c r="U26" s="379" t="n"/>
      <c r="V26" s="379" t="n"/>
      <c r="W26" s="379" t="n"/>
      <c r="X26" s="379" t="n"/>
      <c r="Y26" s="379" t="n"/>
      <c r="Z26" s="341">
        <f>$AC$4</f>
        <v/>
      </c>
      <c r="AA26" s="379" t="n"/>
      <c r="AB26" s="379" t="n"/>
      <c r="AC26" s="381" t="n"/>
    </row>
    <row r="27" ht="15.6" customHeight="1" thickBot="1" thickTop="1">
      <c r="C27" s="380" t="inlineStr">
        <is>
          <t>DATA SOSPENSIONI</t>
        </is>
      </c>
      <c r="D27" s="379" t="n"/>
      <c r="E27" s="379" t="n"/>
      <c r="F27" s="379" t="n"/>
      <c r="G27" s="379" t="n"/>
      <c r="H27" s="379" t="n"/>
      <c r="I27" s="379" t="n"/>
      <c r="J27" s="379" t="n"/>
      <c r="K27" s="379" t="n"/>
      <c r="L27" s="379" t="n"/>
      <c r="M27" s="379" t="n"/>
      <c r="N27" s="379" t="n"/>
      <c r="O27" s="379" t="n"/>
      <c r="P27" s="379" t="n"/>
      <c r="Q27" s="379" t="n"/>
      <c r="R27" s="379" t="n"/>
      <c r="S27" s="379" t="n"/>
      <c r="T27" s="379" t="n"/>
      <c r="U27" s="379" t="n"/>
      <c r="V27" s="379" t="n"/>
      <c r="W27" s="379" t="n"/>
      <c r="X27" s="379" t="n"/>
      <c r="Y27" s="379" t="n"/>
      <c r="Z27" s="379" t="n"/>
      <c r="AA27" s="379" t="n"/>
      <c r="AB27" s="379" t="n"/>
      <c r="AC27" s="381" t="n"/>
    </row>
    <row r="28" ht="15.75" customHeight="1" thickTop="1">
      <c r="C28" s="75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7" t="n"/>
    </row>
    <row r="29" ht="15.75" customHeight="1">
      <c r="C29" s="78" t="n"/>
      <c r="D29" s="81" t="inlineStr">
        <is>
          <t>FORZA</t>
        </is>
      </c>
      <c r="E29" s="337" t="inlineStr">
        <is>
          <t>Wk 5</t>
        </is>
      </c>
      <c r="H29" s="382" t="n"/>
      <c r="I29" s="337" t="n"/>
      <c r="J29" s="337" t="n"/>
      <c r="K29" s="337" t="inlineStr">
        <is>
          <t>Wk 6</t>
        </is>
      </c>
      <c r="N29" s="382" t="n"/>
      <c r="O29" s="337" t="n"/>
      <c r="P29" s="337" t="n"/>
      <c r="Q29" s="337" t="inlineStr">
        <is>
          <t>Wk 7</t>
        </is>
      </c>
      <c r="T29" s="382" t="n"/>
      <c r="U29" s="337" t="n"/>
      <c r="V29" s="337" t="n"/>
      <c r="W29" s="337" t="inlineStr">
        <is>
          <t>Wk 8</t>
        </is>
      </c>
      <c r="Z29" s="382" t="n"/>
      <c r="AA29" s="81" t="n"/>
      <c r="AB29" s="81" t="n"/>
      <c r="AC29" s="48" t="n"/>
    </row>
    <row r="30" ht="15.75" customHeight="1">
      <c r="C30" s="78" t="n"/>
      <c r="D30" s="74" t="inlineStr">
        <is>
          <t>Esercizio</t>
        </is>
      </c>
      <c r="E30" s="95" t="inlineStr">
        <is>
          <t>TEMPO</t>
        </is>
      </c>
      <c r="F30" s="34" t="inlineStr">
        <is>
          <t>REP</t>
        </is>
      </c>
      <c r="G30" s="95" t="inlineStr">
        <is>
          <t>SET</t>
        </is>
      </c>
      <c r="H30" s="73" t="inlineStr">
        <is>
          <t>CARICO</t>
        </is>
      </c>
      <c r="I30" s="140" t="inlineStr">
        <is>
          <t>Rest</t>
        </is>
      </c>
      <c r="J30" s="140" t="inlineStr">
        <is>
          <t>TUT es</t>
        </is>
      </c>
      <c r="K30" s="95" t="inlineStr">
        <is>
          <t>TEMPO</t>
        </is>
      </c>
      <c r="L30" s="34" t="inlineStr">
        <is>
          <t>REP</t>
        </is>
      </c>
      <c r="M30" s="95" t="inlineStr">
        <is>
          <t>SET</t>
        </is>
      </c>
      <c r="N30" s="73" t="inlineStr">
        <is>
          <t>CARICO</t>
        </is>
      </c>
      <c r="O30" s="140" t="inlineStr">
        <is>
          <t>Rest</t>
        </is>
      </c>
      <c r="P30" s="140" t="inlineStr">
        <is>
          <t>TUT es</t>
        </is>
      </c>
      <c r="Q30" s="95" t="inlineStr">
        <is>
          <t>TEMPO</t>
        </is>
      </c>
      <c r="R30" s="34" t="inlineStr">
        <is>
          <t>REP</t>
        </is>
      </c>
      <c r="S30" s="95" t="inlineStr">
        <is>
          <t>SET</t>
        </is>
      </c>
      <c r="T30" s="73" t="inlineStr">
        <is>
          <t>CARICO</t>
        </is>
      </c>
      <c r="U30" s="140" t="inlineStr">
        <is>
          <t>Rest</t>
        </is>
      </c>
      <c r="V30" s="140" t="inlineStr">
        <is>
          <t>TUT es</t>
        </is>
      </c>
      <c r="W30" s="95" t="inlineStr">
        <is>
          <t>TEMPO</t>
        </is>
      </c>
      <c r="X30" s="34" t="inlineStr">
        <is>
          <t>REP</t>
        </is>
      </c>
      <c r="Y30" s="95" t="inlineStr">
        <is>
          <t>SET</t>
        </is>
      </c>
      <c r="Z30" s="73" t="inlineStr">
        <is>
          <t>CARICO</t>
        </is>
      </c>
      <c r="AA30" s="140" t="inlineStr">
        <is>
          <t>Rest</t>
        </is>
      </c>
      <c r="AB30" s="140" t="inlineStr">
        <is>
          <t>TUT es</t>
        </is>
      </c>
      <c r="AC30" s="33" t="n"/>
    </row>
    <row r="31" ht="15.75" customHeight="1">
      <c r="C31" s="78" t="n"/>
      <c r="D31" s="79" t="inlineStr">
        <is>
          <t>Sospensioni due mani</t>
        </is>
      </c>
      <c r="E31" s="94" t="n"/>
      <c r="F31" s="35" t="n"/>
      <c r="G31" s="94" t="n"/>
      <c r="H31" s="148" t="n"/>
      <c r="I31" s="323" t="n"/>
      <c r="J31" s="323">
        <f>(E31*F31)+(F31*I31)</f>
        <v/>
      </c>
      <c r="K31" s="94" t="n"/>
      <c r="L31" s="35" t="n"/>
      <c r="M31" s="94" t="n"/>
      <c r="N31" s="148" t="n"/>
      <c r="O31">
        <f>$I31</f>
        <v/>
      </c>
      <c r="P31" s="323">
        <f>(K31*L31)+(L31*O31)</f>
        <v/>
      </c>
      <c r="Q31" s="94" t="n"/>
      <c r="R31" s="35" t="n"/>
      <c r="S31" s="94" t="n"/>
      <c r="T31" s="148" t="n"/>
      <c r="U31">
        <f>$I31</f>
        <v/>
      </c>
      <c r="V31" s="323">
        <f>(Q31*R31)+(R31*U31)</f>
        <v/>
      </c>
      <c r="W31" s="94" t="n"/>
      <c r="X31" s="35" t="n"/>
      <c r="Y31" s="94" t="n"/>
      <c r="Z31" s="148" t="n"/>
      <c r="AA31">
        <f>$I31</f>
        <v/>
      </c>
      <c r="AB31" s="323">
        <f>(W31*X31)+(X31*AA31)</f>
        <v/>
      </c>
      <c r="AC31" s="33" t="n"/>
    </row>
    <row r="32" ht="16.15" customHeight="1">
      <c r="C32" s="78" t="n"/>
      <c r="D32" s="144" t="inlineStr">
        <is>
          <t>Sospensioni bidito</t>
        </is>
      </c>
      <c r="E32" s="145" t="n"/>
      <c r="F32" s="145" t="n"/>
      <c r="G32" s="145" t="n"/>
      <c r="H32" s="151" t="n"/>
      <c r="I32" s="147" t="n"/>
      <c r="J32" s="147">
        <f>(E32*F32)+(F32*I32)</f>
        <v/>
      </c>
      <c r="K32" s="145" t="n"/>
      <c r="L32" s="145" t="n"/>
      <c r="M32" s="145" t="n"/>
      <c r="N32" s="151" t="n"/>
      <c r="O32" s="150">
        <f>$I32</f>
        <v/>
      </c>
      <c r="P32" s="147">
        <f>(K32*L32)+(L32*O32)</f>
        <v/>
      </c>
      <c r="Q32" s="145" t="n"/>
      <c r="R32" s="145" t="n"/>
      <c r="S32" s="145" t="n"/>
      <c r="T32" s="151" t="n"/>
      <c r="U32" s="150">
        <f>$I32</f>
        <v/>
      </c>
      <c r="V32" s="147">
        <f>(Q32*R32)+(R32*U32)</f>
        <v/>
      </c>
      <c r="W32" s="145" t="n"/>
      <c r="X32" s="145" t="n"/>
      <c r="Y32" s="145" t="n"/>
      <c r="Z32" s="151" t="n"/>
      <c r="AA32" s="150">
        <f>$I32</f>
        <v/>
      </c>
      <c r="AB32" s="147">
        <f>(W32*X32)+(X32*AA32)</f>
        <v/>
      </c>
      <c r="AC32" s="33" t="n"/>
      <c r="AD32" s="25" t="n"/>
      <c r="AE32" s="25" t="n"/>
      <c r="AF32" s="25" t="n"/>
    </row>
    <row r="33" ht="15.75" customHeight="1">
      <c r="C33" s="78" t="n"/>
      <c r="D33" s="79" t="inlineStr">
        <is>
          <t>Sospensioni svase</t>
        </is>
      </c>
      <c r="E33" s="323" t="n"/>
      <c r="F33" s="94" t="n"/>
      <c r="G33" s="94" t="n"/>
      <c r="H33" s="148" t="n"/>
      <c r="I33" s="323" t="n"/>
      <c r="J33" s="323">
        <f>(E33*F33)+(F33*I33)</f>
        <v/>
      </c>
      <c r="K33" s="323" t="n"/>
      <c r="L33" s="94" t="n"/>
      <c r="M33" s="94" t="n"/>
      <c r="N33" s="148" t="n"/>
      <c r="O33">
        <f>$I33</f>
        <v/>
      </c>
      <c r="P33" s="323">
        <f>(K33*L33)+(L33*O33)</f>
        <v/>
      </c>
      <c r="Q33" s="323" t="n"/>
      <c r="R33" s="94" t="n"/>
      <c r="S33" s="94" t="n"/>
      <c r="T33" s="148" t="n"/>
      <c r="U33">
        <f>$I33</f>
        <v/>
      </c>
      <c r="V33" s="323">
        <f>(Q33*R33)+(R33*U33)</f>
        <v/>
      </c>
      <c r="W33" s="323" t="n"/>
      <c r="X33" s="94" t="n"/>
      <c r="Y33" s="94" t="n"/>
      <c r="Z33" s="148" t="n"/>
      <c r="AA33">
        <f>$I33</f>
        <v/>
      </c>
      <c r="AB33" s="323">
        <f>(W33*X33)+(X33*AA33)</f>
        <v/>
      </c>
      <c r="AC33" s="33" t="n"/>
      <c r="AD33" s="7" t="n"/>
    </row>
    <row r="34" ht="15.75" customHeight="1">
      <c r="C34" s="78" t="n"/>
      <c r="D34" s="144" t="inlineStr">
        <is>
          <t>Sospensione due mani</t>
        </is>
      </c>
      <c r="E34" s="170" t="inlineStr">
        <is>
          <t>AMRAP</t>
        </is>
      </c>
      <c r="F34" s="145" t="n">
        <v>1</v>
      </c>
      <c r="G34" s="145" t="n">
        <v>1</v>
      </c>
      <c r="H34" s="146" t="n"/>
      <c r="I34" s="147" t="n"/>
      <c r="J34" s="147" t="n"/>
      <c r="K34" s="170" t="inlineStr">
        <is>
          <t>AMRAP</t>
        </is>
      </c>
      <c r="L34" s="145" t="n">
        <v>1</v>
      </c>
      <c r="M34" s="145" t="n">
        <v>1</v>
      </c>
      <c r="N34" s="146" t="n"/>
      <c r="O34" s="147" t="n"/>
      <c r="P34" s="147" t="n"/>
      <c r="Q34" s="170" t="inlineStr">
        <is>
          <t>AMRAP</t>
        </is>
      </c>
      <c r="R34" s="145" t="n">
        <v>1</v>
      </c>
      <c r="S34" s="145" t="n">
        <v>1</v>
      </c>
      <c r="T34" s="146" t="n"/>
      <c r="U34" s="147" t="n"/>
      <c r="V34" s="147" t="n"/>
      <c r="W34" s="170" t="inlineStr">
        <is>
          <t>AMRAP</t>
        </is>
      </c>
      <c r="X34" s="145" t="n">
        <v>1</v>
      </c>
      <c r="Y34" s="145" t="n">
        <v>1</v>
      </c>
      <c r="Z34" s="146" t="n"/>
      <c r="AA34" s="147" t="n"/>
      <c r="AB34" s="147" t="n"/>
      <c r="AC34" s="33" t="n"/>
    </row>
    <row r="35" ht="15.75" customHeight="1">
      <c r="C35" s="78" t="n"/>
      <c r="D35" s="80" t="inlineStr">
        <is>
          <t>Volume totale:</t>
        </is>
      </c>
      <c r="E35" s="324">
        <f t="array" ref="E35">SUMPRODUCT((E31:E33*F31:F33)*G31:G33)</f>
        <v/>
      </c>
      <c r="H35" s="383" t="n"/>
      <c r="I35" s="323" t="n"/>
      <c r="J35" s="323" t="n"/>
      <c r="K35" s="324">
        <f t="array" ref="K35">SUMPRODUCT((K31:K33*L31:L33)*M31:M33)</f>
        <v/>
      </c>
      <c r="N35" s="383" t="n"/>
      <c r="O35" s="323" t="n"/>
      <c r="P35" s="323" t="n"/>
      <c r="Q35" s="324">
        <f t="array" ref="Q35">SUMPRODUCT((Q31:Q33*R31:R33)*S31:S33)</f>
        <v/>
      </c>
      <c r="T35" s="383" t="n"/>
      <c r="U35" s="323" t="n"/>
      <c r="V35" s="323" t="n"/>
      <c r="W35" s="324">
        <f t="array" ref="W35">SUMPRODUCT((W31:W33*X31:X33)*Y31:Y33)</f>
        <v/>
      </c>
      <c r="Z35" s="383" t="n"/>
      <c r="AA35" s="323" t="n"/>
      <c r="AB35" s="323" t="n"/>
      <c r="AC35" s="33" t="n"/>
    </row>
    <row r="36" ht="15.6" customHeight="1">
      <c r="C36" s="78" t="n"/>
      <c r="D36" s="80" t="n"/>
      <c r="E36" s="81" t="n"/>
      <c r="F36" s="323" t="n"/>
      <c r="G36" s="323" t="n"/>
      <c r="H36" s="324" t="n"/>
      <c r="I36" s="323" t="n"/>
      <c r="J36" s="323" t="n"/>
      <c r="K36" s="323" t="n"/>
      <c r="L36" s="323" t="n"/>
      <c r="M36" s="323" t="n"/>
      <c r="N36" s="324" t="n"/>
      <c r="O36" s="323" t="n"/>
      <c r="P36" s="323" t="n"/>
      <c r="Q36" s="323" t="n"/>
      <c r="R36" s="323" t="n"/>
      <c r="S36" s="323" t="n"/>
      <c r="T36" s="324" t="n"/>
      <c r="U36" s="323" t="n"/>
      <c r="V36" s="323" t="n"/>
      <c r="W36" s="81" t="n"/>
      <c r="X36" s="323" t="n"/>
      <c r="Y36" s="323" t="n"/>
      <c r="Z36" s="324" t="n"/>
      <c r="AA36" s="323" t="n"/>
      <c r="AB36" s="323" t="n"/>
      <c r="AC36" s="48" t="n"/>
    </row>
    <row r="37" ht="15.6" customHeight="1">
      <c r="C37" s="78" t="n"/>
      <c r="D37" s="80" t="inlineStr">
        <is>
          <t xml:space="preserve">Recupero:  </t>
        </is>
      </c>
      <c r="E37" s="329" t="inlineStr">
        <is>
          <t xml:space="preserve"> Tra le ripetizioni 8"
											</t>
        </is>
      </c>
      <c r="H37" s="383" t="n"/>
      <c r="I37" s="328" t="n"/>
      <c r="J37" s="328" t="n"/>
      <c r="K37" s="329" t="inlineStr">
        <is>
          <t xml:space="preserve"> Tra le ripetizioni 8"
											</t>
        </is>
      </c>
      <c r="N37" s="383" t="n"/>
      <c r="O37" s="328" t="n"/>
      <c r="P37" s="328" t="n"/>
      <c r="Q37" s="329" t="inlineStr">
        <is>
          <t xml:space="preserve"> Tra le ripetizioni 8"
											</t>
        </is>
      </c>
      <c r="T37" s="383" t="n"/>
      <c r="U37" s="328" t="n"/>
      <c r="V37" s="328" t="n"/>
      <c r="W37" s="329" t="inlineStr">
        <is>
          <t xml:space="preserve"> Tra le ripetizioni 8"
											</t>
        </is>
      </c>
      <c r="Z37" s="383" t="n"/>
      <c r="AA37" s="326" t="n"/>
      <c r="AB37" s="326" t="n"/>
      <c r="AC37" s="37" t="n"/>
    </row>
    <row r="38" ht="15.6" customHeight="1">
      <c r="C38" s="78" t="n"/>
      <c r="D38" s="80" t="n"/>
      <c r="E38" s="329" t="inlineStr">
        <is>
          <t xml:space="preserve"> Tra le serie 1'45"</t>
        </is>
      </c>
      <c r="H38" s="383" t="n"/>
      <c r="I38" s="328" t="n"/>
      <c r="J38" s="328" t="n"/>
      <c r="K38" s="329" t="inlineStr">
        <is>
          <t xml:space="preserve"> Tra le serie 1'45"</t>
        </is>
      </c>
      <c r="N38" s="383" t="n"/>
      <c r="O38" s="328" t="n"/>
      <c r="P38" s="328" t="n"/>
      <c r="Q38" s="329" t="inlineStr">
        <is>
          <t xml:space="preserve"> Tra le serie 1'45"</t>
        </is>
      </c>
      <c r="T38" s="383" t="n"/>
      <c r="U38" s="328" t="n"/>
      <c r="V38" s="328" t="n"/>
      <c r="W38" s="329" t="inlineStr">
        <is>
          <t xml:space="preserve"> Tra le serie 1'45"</t>
        </is>
      </c>
      <c r="Z38" s="383" t="n"/>
      <c r="AA38" s="328" t="n"/>
      <c r="AB38" s="328" t="n"/>
      <c r="AC38" s="37" t="n"/>
    </row>
    <row r="39" ht="15.75" customHeight="1">
      <c r="C39" s="78" t="n"/>
      <c r="D39" s="80" t="n"/>
      <c r="E39" s="328" t="n"/>
      <c r="F39" s="328" t="n"/>
      <c r="G39" s="328" t="n"/>
      <c r="H39" s="328" t="n"/>
      <c r="I39" s="328" t="n"/>
      <c r="J39" s="328" t="n"/>
      <c r="K39" s="328" t="n"/>
      <c r="L39" s="328" t="n"/>
      <c r="M39" s="328" t="n"/>
      <c r="N39" s="328" t="n"/>
      <c r="O39" s="328" t="n"/>
      <c r="P39" s="328" t="n"/>
      <c r="Q39" s="328" t="n"/>
      <c r="R39" s="328" t="n"/>
      <c r="S39" s="328" t="n"/>
      <c r="T39" s="328" t="n"/>
      <c r="U39" s="328" t="n"/>
      <c r="V39" s="328" t="n"/>
      <c r="W39" s="328" t="n"/>
      <c r="X39" s="328" t="n"/>
      <c r="Y39" s="328" t="n"/>
      <c r="Z39" s="328" t="n"/>
      <c r="AA39" s="328" t="n"/>
      <c r="AB39" s="328" t="n"/>
      <c r="AC39" s="37" t="n"/>
    </row>
    <row r="40" ht="15.75" customHeight="1">
      <c r="C40" s="78" t="n"/>
      <c r="D40" s="80" t="n"/>
      <c r="E40" s="328" t="n"/>
      <c r="F40" s="328" t="n"/>
      <c r="G40" s="328" t="n"/>
      <c r="H40" s="328" t="n"/>
      <c r="I40" s="328" t="n"/>
      <c r="J40" s="328" t="n"/>
      <c r="K40" s="328" t="n"/>
      <c r="L40" s="328" t="n"/>
      <c r="M40" s="328" t="n"/>
      <c r="N40" s="328" t="n"/>
      <c r="O40" s="328" t="n"/>
      <c r="P40" s="328" t="n"/>
      <c r="Q40" s="328" t="n"/>
      <c r="R40" s="328" t="n"/>
      <c r="S40" s="328" t="n"/>
      <c r="T40" s="328" t="n"/>
      <c r="U40" s="328" t="n"/>
      <c r="V40" s="328" t="n"/>
      <c r="W40" s="328" t="n"/>
      <c r="X40" s="328" t="n"/>
      <c r="Y40" s="328" t="n"/>
      <c r="Z40" s="328" t="n"/>
      <c r="AA40" s="328" t="n"/>
      <c r="AB40" s="328" t="n"/>
      <c r="AC40" s="37" t="n"/>
    </row>
    <row r="41" ht="15.75" customHeight="1">
      <c r="C41" s="78" t="n"/>
      <c r="D41" s="25" t="inlineStr">
        <is>
          <t>RESISTENZA</t>
        </is>
      </c>
      <c r="E41" s="337" t="inlineStr">
        <is>
          <t>Wk 5</t>
        </is>
      </c>
      <c r="H41" s="382" t="n"/>
      <c r="I41" s="337" t="n"/>
      <c r="J41" s="337" t="n"/>
      <c r="K41" s="337" t="inlineStr">
        <is>
          <t>Wk 6</t>
        </is>
      </c>
      <c r="N41" s="382" t="n"/>
      <c r="O41" s="337" t="n"/>
      <c r="P41" s="337" t="n"/>
      <c r="Q41" s="337" t="inlineStr">
        <is>
          <t>Wk 7</t>
        </is>
      </c>
      <c r="T41" s="382" t="n"/>
      <c r="U41" s="337" t="n"/>
      <c r="V41" s="337" t="n"/>
      <c r="W41" s="337" t="inlineStr">
        <is>
          <t>Wk 8</t>
        </is>
      </c>
      <c r="Z41" s="382" t="n"/>
      <c r="AA41" s="336" t="n"/>
      <c r="AB41" s="336" t="n"/>
      <c r="AC41" s="37" t="n"/>
    </row>
    <row r="42" ht="15.75" customHeight="1">
      <c r="C42" s="78" t="n"/>
      <c r="D42" s="74" t="inlineStr">
        <is>
          <t>Esercizio</t>
        </is>
      </c>
      <c r="E42" s="95" t="inlineStr">
        <is>
          <t>TEMPO</t>
        </is>
      </c>
      <c r="F42" s="34" t="inlineStr">
        <is>
          <t>REP</t>
        </is>
      </c>
      <c r="G42" s="95" t="inlineStr">
        <is>
          <t>SET</t>
        </is>
      </c>
      <c r="H42" s="73" t="inlineStr">
        <is>
          <t>CARICO</t>
        </is>
      </c>
      <c r="I42" s="140" t="inlineStr">
        <is>
          <t>Rest</t>
        </is>
      </c>
      <c r="J42" s="140" t="inlineStr">
        <is>
          <t>TUT es</t>
        </is>
      </c>
      <c r="K42" s="95" t="inlineStr">
        <is>
          <t>TEMPO</t>
        </is>
      </c>
      <c r="L42" s="34" t="inlineStr">
        <is>
          <t>REP</t>
        </is>
      </c>
      <c r="M42" s="95" t="inlineStr">
        <is>
          <t>SET</t>
        </is>
      </c>
      <c r="N42" s="73" t="inlineStr">
        <is>
          <t>CARICO</t>
        </is>
      </c>
      <c r="O42" s="140" t="inlineStr">
        <is>
          <t>Rest</t>
        </is>
      </c>
      <c r="P42" s="140" t="inlineStr">
        <is>
          <t>TUT es</t>
        </is>
      </c>
      <c r="Q42" s="95" t="inlineStr">
        <is>
          <t>TEMPO</t>
        </is>
      </c>
      <c r="R42" s="34" t="inlineStr">
        <is>
          <t>REP</t>
        </is>
      </c>
      <c r="S42" s="95" t="inlineStr">
        <is>
          <t>SET</t>
        </is>
      </c>
      <c r="T42" s="73" t="inlineStr">
        <is>
          <t>CARICO</t>
        </is>
      </c>
      <c r="U42" s="140" t="inlineStr">
        <is>
          <t>Rest</t>
        </is>
      </c>
      <c r="V42" s="140" t="inlineStr">
        <is>
          <t>TUT es</t>
        </is>
      </c>
      <c r="W42" s="95" t="inlineStr">
        <is>
          <t>TEMPO</t>
        </is>
      </c>
      <c r="X42" s="34" t="inlineStr">
        <is>
          <t>REP</t>
        </is>
      </c>
      <c r="Y42" s="95" t="inlineStr">
        <is>
          <t>SET</t>
        </is>
      </c>
      <c r="Z42" s="73" t="inlineStr">
        <is>
          <t>CARICO</t>
        </is>
      </c>
      <c r="AA42" s="140" t="inlineStr">
        <is>
          <t>Rest</t>
        </is>
      </c>
      <c r="AB42" s="140" t="inlineStr">
        <is>
          <t>TUT es</t>
        </is>
      </c>
      <c r="AC42" s="37" t="n"/>
    </row>
    <row r="43" ht="15.75" customHeight="1">
      <c r="C43" s="78" t="n"/>
      <c r="D43" s="79" t="inlineStr">
        <is>
          <t>1) Sospensione due mani multipresa</t>
        </is>
      </c>
      <c r="E43" s="94" t="n"/>
      <c r="F43" s="35" t="n"/>
      <c r="G43" s="94" t="n"/>
      <c r="H43" s="324" t="inlineStr">
        <is>
          <t>≥10</t>
        </is>
      </c>
      <c r="I43" t="n">
        <v>6</v>
      </c>
      <c r="J43" s="323">
        <f>(E43*F43)+(F43*I43)</f>
        <v/>
      </c>
      <c r="K43" s="94" t="n"/>
      <c r="L43" s="35" t="n"/>
      <c r="M43" s="94" t="n"/>
      <c r="N43" s="324" t="n"/>
      <c r="O43">
        <f>$I43</f>
        <v/>
      </c>
      <c r="P43" s="323">
        <f>(K43*L43)+(L43*O43)</f>
        <v/>
      </c>
      <c r="Q43" s="94" t="n"/>
      <c r="R43" s="35" t="n"/>
      <c r="S43" s="94" t="n"/>
      <c r="T43" s="324" t="n"/>
      <c r="U43">
        <f>$I43</f>
        <v/>
      </c>
      <c r="V43" s="323">
        <f>(Q43*R43)+(R43*U43)</f>
        <v/>
      </c>
      <c r="W43" s="94" t="n"/>
      <c r="X43" s="35" t="n"/>
      <c r="Y43" s="94" t="n"/>
      <c r="Z43" s="324" t="n"/>
      <c r="AA43">
        <f>$I43</f>
        <v/>
      </c>
      <c r="AB43" s="323">
        <f>(W43*X43)+(X43*AA43)</f>
        <v/>
      </c>
      <c r="AC43" s="37" t="n"/>
    </row>
    <row r="44" ht="15.75" customHeight="1">
      <c r="C44" s="78" t="n"/>
      <c r="D44" s="144" t="inlineStr">
        <is>
          <t>2) Sospensioni due mani multipresa</t>
        </is>
      </c>
      <c r="E44" s="145" t="n"/>
      <c r="F44" s="149" t="n"/>
      <c r="G44" s="145" t="n"/>
      <c r="H44" s="146" t="inlineStr">
        <is>
          <t>≥-10</t>
        </is>
      </c>
      <c r="I44" s="150" t="n">
        <v>5</v>
      </c>
      <c r="J44" s="147">
        <f>(E44*F44)+(F44*I44)</f>
        <v/>
      </c>
      <c r="K44" s="145" t="n"/>
      <c r="L44" s="149" t="n"/>
      <c r="M44" s="145" t="n"/>
      <c r="N44" s="146" t="n"/>
      <c r="O44" s="150">
        <f>$I44</f>
        <v/>
      </c>
      <c r="P44" s="147">
        <f>(K44*L44)+(L44*O44)</f>
        <v/>
      </c>
      <c r="Q44" s="145" t="n"/>
      <c r="R44" s="149" t="n"/>
      <c r="S44" s="145" t="n"/>
      <c r="T44" s="146" t="n"/>
      <c r="U44" s="150">
        <f>$I44</f>
        <v/>
      </c>
      <c r="V44" s="147">
        <f>(Q44*R44)+(R44*U44)</f>
        <v/>
      </c>
      <c r="W44" s="145" t="n"/>
      <c r="X44" s="149" t="n"/>
      <c r="Y44" s="145" t="n"/>
      <c r="Z44" s="146" t="n"/>
      <c r="AA44" s="150">
        <f>$I44</f>
        <v/>
      </c>
      <c r="AB44" s="147">
        <f>(W44*X44)+(X44*AA44)</f>
        <v/>
      </c>
      <c r="AC44" s="37" t="n"/>
    </row>
    <row r="45" ht="15.75" customHeight="1">
      <c r="C45" s="78" t="n"/>
      <c r="D45" s="142" t="inlineStr">
        <is>
          <t>Volume totale:</t>
        </is>
      </c>
      <c r="E45" s="324">
        <f t="array" ref="E45">SUMPRODUCT((E43:E44*F43:F44)*G43:G44)</f>
        <v/>
      </c>
      <c r="H45" s="383" t="n"/>
      <c r="J45" s="323">
        <f>(E45*F45)+(F45*I45)</f>
        <v/>
      </c>
      <c r="K45" s="324">
        <f t="array" ref="K45">SUMPRODUCT((K43:K44*L43:L44)*M43:M44)</f>
        <v/>
      </c>
      <c r="N45" s="383" t="n"/>
      <c r="P45" s="323">
        <f>(K45*L45)+(L45*O45)</f>
        <v/>
      </c>
      <c r="Q45" s="324">
        <f t="array" ref="Q45">SUMPRODUCT((Q43:Q44*R43:R44)*S43:S44)</f>
        <v/>
      </c>
      <c r="T45" s="383" t="n"/>
      <c r="V45" s="323">
        <f>(Q45*R45)+(R45*U45)</f>
        <v/>
      </c>
      <c r="W45" s="324">
        <f t="array" ref="W45">SUMPRODUCT((W43:W44*X43:X44)*Y43:Y44)</f>
        <v/>
      </c>
      <c r="Z45" s="383" t="n"/>
      <c r="AB45" s="323">
        <f>(W45*X45)+(X45*AA45)</f>
        <v/>
      </c>
      <c r="AC45" s="37" t="n"/>
    </row>
    <row r="46" ht="15.75" customHeight="1">
      <c r="C46" s="78" t="n"/>
      <c r="D46" s="143" t="n"/>
      <c r="E46" s="81" t="n"/>
      <c r="F46" s="323" t="n"/>
      <c r="G46" s="323" t="n"/>
      <c r="H46" s="324" t="n"/>
      <c r="K46" s="323" t="n"/>
      <c r="L46" s="323" t="n"/>
      <c r="M46" s="323" t="n"/>
      <c r="N46" s="324" t="n"/>
      <c r="Q46" s="323" t="n"/>
      <c r="R46" s="323" t="n"/>
      <c r="S46" s="323" t="n"/>
      <c r="T46" s="324" t="n"/>
      <c r="W46" s="81" t="n"/>
      <c r="X46" s="323" t="n"/>
      <c r="Y46" s="323" t="n"/>
      <c r="Z46" s="324" t="n"/>
      <c r="AC46" s="37" t="n"/>
    </row>
    <row r="47" ht="15.6" customHeight="1">
      <c r="C47" s="78" t="n"/>
      <c r="D47" s="142" t="inlineStr">
        <is>
          <t xml:space="preserve">Recupero:  </t>
        </is>
      </c>
      <c r="E47" s="334" t="inlineStr">
        <is>
          <t xml:space="preserve"> 1) Tra le ripetizioni 6"
											</t>
        </is>
      </c>
      <c r="H47" s="383" t="n"/>
      <c r="K47" s="334" t="inlineStr">
        <is>
          <t xml:space="preserve"> 1) Tra le ripetizioni 6"
											</t>
        </is>
      </c>
      <c r="N47" s="383" t="n"/>
      <c r="Q47" s="334" t="inlineStr">
        <is>
          <t xml:space="preserve"> 1) Tra le ripetizioni 6"
											</t>
        </is>
      </c>
      <c r="T47" s="383" t="n"/>
      <c r="W47" s="334" t="inlineStr">
        <is>
          <t xml:space="preserve"> 1) Tra le ripetizioni 6"
											</t>
        </is>
      </c>
      <c r="Z47" s="383" t="n"/>
      <c r="AC47" s="37" t="n"/>
    </row>
    <row r="48" ht="15.6" customHeight="1">
      <c r="C48" s="78" t="n"/>
      <c r="D48" s="80" t="n"/>
      <c r="E48" s="332" t="inlineStr">
        <is>
          <t xml:space="preserve"> Tra le serie 4-6'</t>
        </is>
      </c>
      <c r="H48" s="383" t="n"/>
      <c r="K48" s="332" t="inlineStr">
        <is>
          <t xml:space="preserve"> Tra le serie 4-6'</t>
        </is>
      </c>
      <c r="N48" s="383" t="n"/>
      <c r="Q48" s="332" t="inlineStr">
        <is>
          <t xml:space="preserve"> Tra le serie 4-6'</t>
        </is>
      </c>
      <c r="T48" s="383" t="n"/>
      <c r="W48" s="332" t="inlineStr">
        <is>
          <t xml:space="preserve"> Tra le serie 4-6'</t>
        </is>
      </c>
      <c r="Z48" s="383" t="n"/>
      <c r="AC48" s="37" t="n"/>
    </row>
    <row r="49" ht="15.6" customHeight="1">
      <c r="C49" s="78" t="n"/>
      <c r="D49" s="80" t="n"/>
      <c r="E49" s="332" t="inlineStr">
        <is>
          <t xml:space="preserve"> 2) Tra le ripetizioni 5"
											</t>
        </is>
      </c>
      <c r="H49" s="383" t="n"/>
      <c r="K49" s="332" t="inlineStr">
        <is>
          <t xml:space="preserve"> 2) Tra le ripetizioni 5"
											</t>
        </is>
      </c>
      <c r="N49" s="383" t="n"/>
      <c r="Q49" s="332" t="inlineStr">
        <is>
          <t xml:space="preserve"> 2) Tra le ripetizioni 5"
											</t>
        </is>
      </c>
      <c r="T49" s="383" t="n"/>
      <c r="W49" s="332" t="inlineStr">
        <is>
          <t xml:space="preserve"> 2) Tra le ripetizioni 5"
											</t>
        </is>
      </c>
      <c r="Z49" s="383" t="n"/>
      <c r="AC49" s="37" t="n"/>
    </row>
    <row r="50" ht="15.6" customHeight="1">
      <c r="C50" s="78" t="n"/>
      <c r="D50" s="80" t="n"/>
      <c r="E50" s="332" t="inlineStr">
        <is>
          <t xml:space="preserve"> Tra le serie 5-7'</t>
        </is>
      </c>
      <c r="H50" s="383" t="n"/>
      <c r="K50" s="332" t="inlineStr">
        <is>
          <t xml:space="preserve"> Tra le serie 5-7'</t>
        </is>
      </c>
      <c r="N50" s="383" t="n"/>
      <c r="Q50" s="332" t="inlineStr">
        <is>
          <t xml:space="preserve"> Tra le serie 5-7'</t>
        </is>
      </c>
      <c r="T50" s="383" t="n"/>
      <c r="W50" s="332" t="inlineStr">
        <is>
          <t xml:space="preserve"> Tra le serie 5-7'</t>
        </is>
      </c>
      <c r="Z50" s="383" t="n"/>
      <c r="AC50" s="39" t="n"/>
    </row>
    <row r="51" ht="15.75" customHeight="1">
      <c r="C51" s="78" t="n"/>
      <c r="D51" s="80" t="n"/>
      <c r="E51" s="328" t="n"/>
      <c r="F51" s="328" t="n"/>
      <c r="G51" s="328" t="n"/>
      <c r="H51" s="328" t="n"/>
      <c r="I51" s="328" t="n"/>
      <c r="J51" s="328" t="n"/>
      <c r="K51" s="328" t="n"/>
      <c r="L51" s="328" t="n"/>
      <c r="M51" s="328" t="n"/>
      <c r="N51" s="328" t="n"/>
      <c r="O51" s="328" t="n"/>
      <c r="P51" s="328" t="n"/>
      <c r="Q51" s="328" t="n"/>
      <c r="R51" s="328" t="n"/>
      <c r="S51" s="328" t="n"/>
      <c r="T51" s="328" t="n"/>
      <c r="U51" s="328" t="n"/>
      <c r="V51" s="328" t="n"/>
      <c r="W51" s="328" t="n"/>
      <c r="X51" s="328" t="n"/>
      <c r="Y51" s="328" t="n"/>
      <c r="Z51" s="328" t="n"/>
      <c r="AA51" s="328" t="n"/>
      <c r="AB51" s="328" t="n"/>
      <c r="AC51" s="37" t="n"/>
    </row>
    <row r="52" ht="15.75" customHeight="1">
      <c r="C52" s="78" t="n"/>
      <c r="D52" s="81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9" t="n"/>
    </row>
    <row r="53">
      <c r="C53" s="78" t="n"/>
      <c r="D53" s="348" t="inlineStr">
        <is>
          <t>Esegui le sospensioni senza arrivare mai allo sfinimento (tranne nell'AMRAP), nel caso siano facili aumenta la zavorra</t>
        </is>
      </c>
      <c r="X53" s="40" t="n"/>
      <c r="Y53" s="40" t="n"/>
      <c r="Z53" s="40" t="n"/>
      <c r="AA53" s="40" t="n"/>
      <c r="AB53" s="40" t="n"/>
      <c r="AC53" s="41" t="n"/>
    </row>
    <row r="54" ht="14.45" customHeight="1">
      <c r="C54" s="78" t="n"/>
      <c r="D54" s="348" t="inlineStr">
        <is>
          <t>Esegui l'AMRAP entrambi i giorni di allenamento recuperando 3' prima di farlo</t>
        </is>
      </c>
      <c r="R54" s="348" t="n"/>
      <c r="S54" s="348" t="n"/>
      <c r="T54" s="348" t="n"/>
      <c r="U54" s="348" t="n"/>
      <c r="V54" s="348" t="n"/>
      <c r="W54" s="348" t="n"/>
      <c r="X54" s="40" t="n"/>
      <c r="Y54" s="40" t="n"/>
      <c r="Z54" s="40" t="n"/>
      <c r="AA54" s="40" t="n"/>
      <c r="AB54" s="40" t="n"/>
      <c r="AC54" s="41" t="n"/>
    </row>
    <row r="55" ht="15.75" customHeight="1" thickBot="1">
      <c r="C55" s="82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344">
        <f>$Y$21+28</f>
        <v/>
      </c>
      <c r="Z55" s="9" t="n"/>
      <c r="AA55" s="9" t="n"/>
      <c r="AB55" s="9" t="n"/>
      <c r="AC55" s="386" t="n"/>
    </row>
    <row r="56" ht="15.75" customHeight="1" thickTop="1">
      <c r="C56" s="350" t="n"/>
      <c r="D56" s="84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42" t="n"/>
      <c r="X56" s="42" t="n"/>
      <c r="Y56" s="42" t="n"/>
      <c r="Z56" s="42" t="n"/>
      <c r="AA56" s="42" t="n"/>
      <c r="AB56" s="42" t="n"/>
      <c r="AC56" s="42" t="n"/>
    </row>
    <row r="57">
      <c r="C57" s="350" t="n"/>
      <c r="D57" s="84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</row>
    <row r="58"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</row>
    <row r="59"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</row>
    <row r="60" ht="16.5" customHeight="1" thickBot="1">
      <c r="C60" s="25" t="inlineStr">
        <is>
          <t>WEEK 9-12</t>
        </is>
      </c>
      <c r="D60" s="81" t="n"/>
      <c r="E60" s="12" t="n"/>
      <c r="F60" s="12" t="n"/>
      <c r="G60" s="27" t="n"/>
      <c r="H60" s="27" t="n"/>
      <c r="I60" s="141" t="n"/>
      <c r="J60" s="141" t="n"/>
      <c r="K60" s="12" t="n"/>
      <c r="L60" s="349">
        <f>$L$3</f>
        <v/>
      </c>
      <c r="M60" s="9" t="n"/>
      <c r="N60" s="28" t="n"/>
      <c r="O60" s="28" t="n"/>
      <c r="P60" s="28" t="n"/>
      <c r="Q60" s="28" t="n"/>
      <c r="R60" s="12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370">
        <f>$AC$3</f>
        <v/>
      </c>
    </row>
    <row r="61" ht="40.15" customHeight="1" thickBot="1" thickTop="1">
      <c r="C61" s="338" t="n"/>
      <c r="D61" s="379" t="n"/>
      <c r="E61" s="379" t="n"/>
      <c r="F61" s="379" t="n"/>
      <c r="G61" s="379" t="n"/>
      <c r="H61" s="379" t="n"/>
      <c r="I61" s="379" t="n"/>
      <c r="J61" s="379" t="n"/>
      <c r="K61" s="379" t="n"/>
      <c r="L61" s="379" t="n"/>
      <c r="M61" s="379" t="n"/>
      <c r="N61" s="379" t="n"/>
      <c r="O61" s="379" t="n"/>
      <c r="P61" s="379" t="n"/>
      <c r="Q61" s="379" t="n"/>
      <c r="R61" s="379" t="n"/>
      <c r="S61" s="379" t="n"/>
      <c r="T61" s="379" t="n"/>
      <c r="U61" s="379" t="n"/>
      <c r="V61" s="379" t="n"/>
      <c r="W61" s="379" t="n"/>
      <c r="X61" s="379" t="n"/>
      <c r="Y61" s="379" t="n"/>
      <c r="Z61" s="341">
        <f>$AC$4</f>
        <v/>
      </c>
      <c r="AA61" s="379" t="n"/>
      <c r="AB61" s="379" t="n"/>
      <c r="AC61" s="381" t="n"/>
    </row>
    <row r="62" ht="18" customHeight="1" thickBot="1" thickTop="1">
      <c r="C62" s="380" t="inlineStr">
        <is>
          <t>DATA - SOSPENSIONI</t>
        </is>
      </c>
      <c r="D62" s="379" t="n"/>
      <c r="E62" s="379" t="n"/>
      <c r="F62" s="379" t="n"/>
      <c r="G62" s="379" t="n"/>
      <c r="H62" s="379" t="n"/>
      <c r="I62" s="379" t="n"/>
      <c r="J62" s="379" t="n"/>
      <c r="K62" s="379" t="n"/>
      <c r="L62" s="379" t="n"/>
      <c r="M62" s="379" t="n"/>
      <c r="N62" s="379" t="n"/>
      <c r="O62" s="379" t="n"/>
      <c r="P62" s="379" t="n"/>
      <c r="Q62" s="379" t="n"/>
      <c r="R62" s="379" t="n"/>
      <c r="S62" s="379" t="n"/>
      <c r="T62" s="379" t="n"/>
      <c r="U62" s="379" t="n"/>
      <c r="V62" s="379" t="n"/>
      <c r="W62" s="379" t="n"/>
      <c r="X62" s="379" t="n"/>
      <c r="Y62" s="379" t="n"/>
      <c r="Z62" s="379" t="n"/>
      <c r="AA62" s="379" t="n"/>
      <c r="AB62" s="379" t="n"/>
      <c r="AC62" s="381" t="n"/>
    </row>
    <row r="63" ht="15.75" customHeight="1" thickTop="1">
      <c r="C63" s="75" t="n"/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  <c r="AA63" s="76" t="n"/>
      <c r="AB63" s="76" t="n"/>
      <c r="AC63" s="77" t="n"/>
    </row>
    <row r="64" ht="15.75" customHeight="1">
      <c r="C64" s="78" t="n"/>
      <c r="D64" s="81" t="inlineStr">
        <is>
          <t>FORZA</t>
        </is>
      </c>
      <c r="E64" s="337" t="inlineStr">
        <is>
          <t>Wk 9</t>
        </is>
      </c>
      <c r="H64" s="382" t="n"/>
      <c r="I64" s="336" t="n"/>
      <c r="J64" s="336" t="n"/>
      <c r="K64" s="342" t="inlineStr">
        <is>
          <t>Wk 10</t>
        </is>
      </c>
      <c r="N64" s="382" t="n"/>
      <c r="O64" s="336" t="n"/>
      <c r="P64" s="336" t="n"/>
      <c r="Q64" s="342" t="inlineStr">
        <is>
          <t>Wk 11</t>
        </is>
      </c>
      <c r="T64" s="382" t="n"/>
      <c r="U64" s="336" t="n"/>
      <c r="V64" s="336" t="n"/>
      <c r="W64" s="342" t="inlineStr">
        <is>
          <t>Wk 12</t>
        </is>
      </c>
      <c r="Z64" s="382" t="n"/>
      <c r="AA64" s="336" t="n"/>
      <c r="AB64" s="336" t="n"/>
      <c r="AC64" s="48" t="n"/>
    </row>
    <row r="65" ht="15.75" customHeight="1">
      <c r="C65" s="78" t="n"/>
      <c r="D65" s="74" t="inlineStr">
        <is>
          <t>Esercizio</t>
        </is>
      </c>
      <c r="E65" s="95" t="inlineStr">
        <is>
          <t>TEMPO</t>
        </is>
      </c>
      <c r="F65" s="34" t="inlineStr">
        <is>
          <t>REP</t>
        </is>
      </c>
      <c r="G65" s="95" t="inlineStr">
        <is>
          <t>SET</t>
        </is>
      </c>
      <c r="H65" s="73" t="inlineStr">
        <is>
          <t>CARICO</t>
        </is>
      </c>
      <c r="I65" s="140" t="inlineStr">
        <is>
          <t>Rest</t>
        </is>
      </c>
      <c r="J65" s="140" t="inlineStr">
        <is>
          <t>TUT es</t>
        </is>
      </c>
      <c r="K65" s="95" t="inlineStr">
        <is>
          <t>TEMPO</t>
        </is>
      </c>
      <c r="L65" s="34" t="inlineStr">
        <is>
          <t>REP</t>
        </is>
      </c>
      <c r="M65" s="95" t="inlineStr">
        <is>
          <t>SET</t>
        </is>
      </c>
      <c r="N65" s="73" t="inlineStr">
        <is>
          <t>CARICO</t>
        </is>
      </c>
      <c r="O65" s="140" t="inlineStr">
        <is>
          <t>Rest</t>
        </is>
      </c>
      <c r="P65" s="140" t="inlineStr">
        <is>
          <t>TUT es</t>
        </is>
      </c>
      <c r="Q65" s="95" t="inlineStr">
        <is>
          <t>TEMPO</t>
        </is>
      </c>
      <c r="R65" s="34" t="inlineStr">
        <is>
          <t>REP</t>
        </is>
      </c>
      <c r="S65" s="95" t="inlineStr">
        <is>
          <t>SET</t>
        </is>
      </c>
      <c r="T65" s="73" t="inlineStr">
        <is>
          <t>CARICO</t>
        </is>
      </c>
      <c r="U65" s="140" t="inlineStr">
        <is>
          <t>Rest</t>
        </is>
      </c>
      <c r="V65" s="140" t="inlineStr">
        <is>
          <t>TUT es</t>
        </is>
      </c>
      <c r="W65" s="95" t="inlineStr">
        <is>
          <t>TEMPO</t>
        </is>
      </c>
      <c r="X65" s="34" t="inlineStr">
        <is>
          <t>REP</t>
        </is>
      </c>
      <c r="Y65" s="95" t="inlineStr">
        <is>
          <t>SET</t>
        </is>
      </c>
      <c r="Z65" s="73" t="inlineStr">
        <is>
          <t>CARICO</t>
        </is>
      </c>
      <c r="AA65" s="140" t="inlineStr">
        <is>
          <t>Rest</t>
        </is>
      </c>
      <c r="AB65" s="140" t="inlineStr">
        <is>
          <t>TUT es</t>
        </is>
      </c>
      <c r="AC65" s="33" t="n"/>
    </row>
    <row r="66" ht="15.75" customHeight="1">
      <c r="C66" s="78" t="n"/>
      <c r="D66" s="79" t="inlineStr">
        <is>
          <t>Sospensioni due mani</t>
        </is>
      </c>
      <c r="E66" s="94" t="n"/>
      <c r="F66" s="35" t="n"/>
      <c r="G66" s="94" t="n"/>
      <c r="H66" s="148" t="n"/>
      <c r="I66" s="323" t="n"/>
      <c r="J66" s="323">
        <f>(E66*F66)+(F66*I66)</f>
        <v/>
      </c>
      <c r="K66" s="94" t="n"/>
      <c r="L66" s="35" t="n"/>
      <c r="M66" s="94" t="n"/>
      <c r="N66" s="148" t="n"/>
      <c r="O66">
        <f>$I66</f>
        <v/>
      </c>
      <c r="P66" s="323">
        <f>(K66*L66)+(L66*O66)</f>
        <v/>
      </c>
      <c r="Q66" s="94" t="n"/>
      <c r="R66" s="35" t="n"/>
      <c r="S66" s="94" t="n"/>
      <c r="T66" s="148" t="n"/>
      <c r="U66">
        <f>$I66</f>
        <v/>
      </c>
      <c r="V66" s="323">
        <f>(Q66*R66)+(R66*U66)</f>
        <v/>
      </c>
      <c r="W66" s="94" t="n"/>
      <c r="X66" s="35" t="n"/>
      <c r="Y66" s="94" t="n"/>
      <c r="Z66" s="148" t="n"/>
      <c r="AA66">
        <f>$I66</f>
        <v/>
      </c>
      <c r="AB66" s="323">
        <f>(W66*X66)+(X66*AA66)</f>
        <v/>
      </c>
      <c r="AC66" s="33" t="n"/>
    </row>
    <row r="67" ht="16.15" customHeight="1">
      <c r="C67" s="78" t="n"/>
      <c r="D67" s="144" t="inlineStr">
        <is>
          <t>Sospensioni bidito</t>
        </is>
      </c>
      <c r="E67" s="145" t="n"/>
      <c r="F67" s="145" t="n"/>
      <c r="G67" s="145" t="n"/>
      <c r="H67" s="151" t="n"/>
      <c r="I67" s="147" t="n"/>
      <c r="J67" s="147">
        <f>(E67*F67)+(F67*I67)</f>
        <v/>
      </c>
      <c r="K67" s="145" t="n"/>
      <c r="L67" s="145" t="n"/>
      <c r="M67" s="145" t="n"/>
      <c r="N67" s="151" t="n"/>
      <c r="O67" s="150">
        <f>$I67</f>
        <v/>
      </c>
      <c r="P67" s="147">
        <f>(K67*L67)+(L67*O67)</f>
        <v/>
      </c>
      <c r="Q67" s="145" t="n"/>
      <c r="R67" s="145" t="n"/>
      <c r="S67" s="145" t="n"/>
      <c r="T67" s="151" t="n"/>
      <c r="U67" s="150">
        <f>$I67</f>
        <v/>
      </c>
      <c r="V67" s="147">
        <f>(Q67*R67)+(R67*U67)</f>
        <v/>
      </c>
      <c r="W67" s="145" t="n"/>
      <c r="X67" s="145" t="n"/>
      <c r="Y67" s="145" t="n"/>
      <c r="Z67" s="151" t="n"/>
      <c r="AA67" s="150">
        <f>$I67</f>
        <v/>
      </c>
      <c r="AB67" s="147">
        <f>(W67*X67)+(X67*AA67)</f>
        <v/>
      </c>
      <c r="AC67" s="33" t="n"/>
      <c r="AD67" s="25" t="n"/>
      <c r="AE67" s="25" t="n"/>
      <c r="AF67" s="25" t="n"/>
    </row>
    <row r="68" ht="15.75" customHeight="1">
      <c r="C68" s="78" t="n"/>
      <c r="D68" s="79" t="inlineStr">
        <is>
          <t>Sospensioni svase</t>
        </is>
      </c>
      <c r="E68" s="323" t="n"/>
      <c r="F68" s="94" t="n"/>
      <c r="G68" s="94" t="n"/>
      <c r="H68" s="148" t="n"/>
      <c r="I68" s="323" t="n"/>
      <c r="J68" s="323">
        <f>(E68*F68)+(F68*I68)</f>
        <v/>
      </c>
      <c r="K68" s="323" t="n"/>
      <c r="L68" s="94" t="n"/>
      <c r="M68" s="94" t="n"/>
      <c r="N68" s="148" t="n"/>
      <c r="O68">
        <f>$I68</f>
        <v/>
      </c>
      <c r="P68" s="323">
        <f>(K68*L68)+(L68*O68)</f>
        <v/>
      </c>
      <c r="Q68" s="323" t="n"/>
      <c r="R68" s="94" t="n"/>
      <c r="S68" s="94" t="n"/>
      <c r="T68" s="148" t="n"/>
      <c r="U68">
        <f>$I68</f>
        <v/>
      </c>
      <c r="V68" s="323">
        <f>(Q68*R68)+(R68*U68)</f>
        <v/>
      </c>
      <c r="W68" s="323" t="n"/>
      <c r="X68" s="94" t="n"/>
      <c r="Y68" s="94" t="n"/>
      <c r="Z68" s="148" t="n"/>
      <c r="AA68">
        <f>$I68</f>
        <v/>
      </c>
      <c r="AB68" s="323">
        <f>(W68*X68)+(X68*AA68)</f>
        <v/>
      </c>
      <c r="AC68" s="33" t="n"/>
      <c r="AD68" s="7" t="n"/>
    </row>
    <row r="69" ht="15.75" customHeight="1">
      <c r="C69" s="78" t="n"/>
      <c r="D69" s="144" t="inlineStr">
        <is>
          <t>Sospensione due mani</t>
        </is>
      </c>
      <c r="E69" s="170" t="inlineStr">
        <is>
          <t>AMRAP</t>
        </is>
      </c>
      <c r="F69" s="145" t="n">
        <v>1</v>
      </c>
      <c r="G69" s="145" t="n">
        <v>1</v>
      </c>
      <c r="H69" s="146" t="n"/>
      <c r="I69" s="147" t="n"/>
      <c r="J69" s="147" t="n"/>
      <c r="K69" s="170" t="inlineStr">
        <is>
          <t>AMRAP</t>
        </is>
      </c>
      <c r="L69" s="145" t="n">
        <v>1</v>
      </c>
      <c r="M69" s="145" t="n">
        <v>1</v>
      </c>
      <c r="N69" s="146" t="n"/>
      <c r="O69" s="147" t="n"/>
      <c r="P69" s="147" t="n"/>
      <c r="Q69" s="170" t="inlineStr">
        <is>
          <t>AMRAP</t>
        </is>
      </c>
      <c r="R69" s="145" t="n">
        <v>1</v>
      </c>
      <c r="S69" s="145" t="n">
        <v>1</v>
      </c>
      <c r="T69" s="146" t="n"/>
      <c r="U69" s="147" t="n"/>
      <c r="V69" s="147" t="n"/>
      <c r="W69" s="170" t="inlineStr">
        <is>
          <t>AMRAP</t>
        </is>
      </c>
      <c r="X69" s="145" t="n">
        <v>1</v>
      </c>
      <c r="Y69" s="145" t="n">
        <v>1</v>
      </c>
      <c r="Z69" s="146" t="n"/>
      <c r="AA69" s="147" t="n"/>
      <c r="AB69" s="147" t="n"/>
      <c r="AC69" s="33" t="n"/>
    </row>
    <row r="70" ht="15.75" customHeight="1">
      <c r="C70" s="78" t="n"/>
      <c r="D70" s="80" t="inlineStr">
        <is>
          <t>Volume totale:</t>
        </is>
      </c>
      <c r="E70" s="324">
        <f t="array" ref="E70">SUMPRODUCT((E66:E68*F66:F68)*G66:G68)</f>
        <v/>
      </c>
      <c r="H70" s="383" t="n"/>
      <c r="I70" s="323" t="n"/>
      <c r="J70" s="323" t="n"/>
      <c r="K70" s="324">
        <f t="array" ref="K70">SUMPRODUCT((K66:K68*L66:L68)*M66:M68)</f>
        <v/>
      </c>
      <c r="N70" s="383" t="n"/>
      <c r="O70" s="323" t="n"/>
      <c r="P70" s="323" t="n"/>
      <c r="Q70" s="324">
        <f t="array" ref="Q70">SUMPRODUCT((Q66:Q68*R66:R68)*S66:S68)</f>
        <v/>
      </c>
      <c r="T70" s="383" t="n"/>
      <c r="U70" s="323" t="n"/>
      <c r="V70" s="323" t="n"/>
      <c r="W70" s="324">
        <f t="array" ref="W70">SUMPRODUCT((W66:W68*X66:X68)*Y66:Y68)</f>
        <v/>
      </c>
      <c r="Z70" s="383" t="n"/>
      <c r="AA70" s="323" t="n"/>
      <c r="AB70" s="323" t="n"/>
      <c r="AC70" s="33" t="n"/>
    </row>
    <row r="71" ht="15.6" customHeight="1">
      <c r="C71" s="78" t="n"/>
      <c r="D71" s="80" t="n"/>
      <c r="E71" s="81" t="n"/>
      <c r="F71" s="323" t="n"/>
      <c r="G71" s="323" t="n"/>
      <c r="H71" s="324" t="n"/>
      <c r="I71" s="323" t="n"/>
      <c r="J71" s="323" t="n"/>
      <c r="K71" s="323" t="n"/>
      <c r="L71" s="323" t="n"/>
      <c r="M71" s="323" t="n"/>
      <c r="N71" s="324" t="n"/>
      <c r="O71" s="323" t="n"/>
      <c r="P71" s="323" t="n"/>
      <c r="Q71" s="323" t="n"/>
      <c r="R71" s="323" t="n"/>
      <c r="S71" s="323" t="n"/>
      <c r="T71" s="324" t="n"/>
      <c r="U71" s="323" t="n"/>
      <c r="V71" s="323" t="n"/>
      <c r="W71" s="81" t="n"/>
      <c r="X71" s="323" t="n"/>
      <c r="Y71" s="323" t="n"/>
      <c r="Z71" s="324" t="n"/>
      <c r="AA71" s="323" t="n"/>
      <c r="AB71" s="323" t="n"/>
      <c r="AC71" s="48" t="n"/>
    </row>
    <row r="72" ht="15.6" customHeight="1">
      <c r="C72" s="78" t="n"/>
      <c r="D72" s="80" t="inlineStr">
        <is>
          <t xml:space="preserve">Recupero:  </t>
        </is>
      </c>
      <c r="E72" s="329" t="inlineStr">
        <is>
          <t xml:space="preserve"> Tra le ripetizioni 8"
											</t>
        </is>
      </c>
      <c r="H72" s="383" t="n"/>
      <c r="I72" s="328" t="n"/>
      <c r="J72" s="328" t="n"/>
      <c r="K72" s="329" t="inlineStr">
        <is>
          <t xml:space="preserve"> Tra le ripetizioni 8"
											</t>
        </is>
      </c>
      <c r="N72" s="383" t="n"/>
      <c r="O72" s="328" t="n"/>
      <c r="P72" s="328" t="n"/>
      <c r="Q72" s="329" t="inlineStr">
        <is>
          <t xml:space="preserve"> Tra le ripetizioni 8"
											</t>
        </is>
      </c>
      <c r="T72" s="383" t="n"/>
      <c r="U72" s="328" t="n"/>
      <c r="V72" s="328" t="n"/>
      <c r="W72" s="329" t="inlineStr">
        <is>
          <t xml:space="preserve"> Tra le ripetizioni 8"
											</t>
        </is>
      </c>
      <c r="Z72" s="383" t="n"/>
      <c r="AA72" s="326" t="n"/>
      <c r="AB72" s="326" t="n"/>
      <c r="AC72" s="37" t="n"/>
    </row>
    <row r="73" ht="15.6" customHeight="1">
      <c r="C73" s="78" t="n"/>
      <c r="D73" s="80" t="n"/>
      <c r="E73" s="329" t="inlineStr">
        <is>
          <t xml:space="preserve"> Tra le serie 1'45"</t>
        </is>
      </c>
      <c r="H73" s="383" t="n"/>
      <c r="I73" s="328" t="n"/>
      <c r="J73" s="328" t="n"/>
      <c r="K73" s="329" t="inlineStr">
        <is>
          <t xml:space="preserve"> Tra le serie 1'45"</t>
        </is>
      </c>
      <c r="N73" s="383" t="n"/>
      <c r="O73" s="328" t="n"/>
      <c r="P73" s="328" t="n"/>
      <c r="Q73" s="329" t="inlineStr">
        <is>
          <t xml:space="preserve"> Tra le serie 1'45"</t>
        </is>
      </c>
      <c r="T73" s="383" t="n"/>
      <c r="U73" s="328" t="n"/>
      <c r="V73" s="328" t="n"/>
      <c r="W73" s="329" t="inlineStr">
        <is>
          <t xml:space="preserve"> Tra le serie 1'45"</t>
        </is>
      </c>
      <c r="Z73" s="383" t="n"/>
      <c r="AA73" s="328" t="n"/>
      <c r="AB73" s="328" t="n"/>
      <c r="AC73" s="37" t="n"/>
    </row>
    <row r="74" ht="15.75" customHeight="1">
      <c r="C74" s="78" t="n"/>
      <c r="D74" s="80" t="n"/>
      <c r="E74" s="328" t="n"/>
      <c r="F74" s="328" t="n"/>
      <c r="G74" s="328" t="n"/>
      <c r="H74" s="328" t="n"/>
      <c r="I74" s="328" t="n"/>
      <c r="J74" s="328" t="n"/>
      <c r="K74" s="328" t="n"/>
      <c r="L74" s="328" t="n"/>
      <c r="M74" s="328" t="n"/>
      <c r="N74" s="328" t="n"/>
      <c r="O74" s="328" t="n"/>
      <c r="P74" s="328" t="n"/>
      <c r="Q74" s="328" t="n"/>
      <c r="R74" s="328" t="n"/>
      <c r="S74" s="328" t="n"/>
      <c r="T74" s="328" t="n"/>
      <c r="U74" s="328" t="n"/>
      <c r="V74" s="328" t="n"/>
      <c r="W74" s="328" t="n"/>
      <c r="X74" s="328" t="n"/>
      <c r="Y74" s="328" t="n"/>
      <c r="Z74" s="328" t="n"/>
      <c r="AA74" s="328" t="n"/>
      <c r="AB74" s="328" t="n"/>
      <c r="AC74" s="37" t="n"/>
    </row>
    <row r="75" ht="15.75" customHeight="1">
      <c r="C75" s="78" t="n"/>
      <c r="D75" s="80" t="n"/>
      <c r="E75" s="328" t="n"/>
      <c r="F75" s="328" t="n"/>
      <c r="G75" s="328" t="n"/>
      <c r="H75" s="328" t="n"/>
      <c r="I75" s="328" t="n"/>
      <c r="J75" s="328" t="n"/>
      <c r="K75" s="328" t="n"/>
      <c r="L75" s="328" t="n"/>
      <c r="M75" s="328" t="n"/>
      <c r="N75" s="328" t="n"/>
      <c r="O75" s="328" t="n"/>
      <c r="P75" s="328" t="n"/>
      <c r="Q75" s="328" t="n"/>
      <c r="R75" s="328" t="n"/>
      <c r="S75" s="328" t="n"/>
      <c r="T75" s="328" t="n"/>
      <c r="U75" s="328" t="n"/>
      <c r="V75" s="328" t="n"/>
      <c r="W75" s="328" t="n"/>
      <c r="X75" s="328" t="n"/>
      <c r="Y75" s="328" t="n"/>
      <c r="Z75" s="328" t="n"/>
      <c r="AA75" s="328" t="n"/>
      <c r="AB75" s="328" t="n"/>
      <c r="AC75" s="37" t="n"/>
    </row>
    <row r="76" ht="15.75" customHeight="1">
      <c r="C76" s="78" t="n"/>
      <c r="D76" s="25" t="inlineStr">
        <is>
          <t>RESISTENZA</t>
        </is>
      </c>
      <c r="E76" s="337" t="inlineStr">
        <is>
          <t>Wk 9</t>
        </is>
      </c>
      <c r="H76" s="382" t="n"/>
      <c r="I76" s="336" t="n"/>
      <c r="J76" s="336" t="n"/>
      <c r="K76" s="342" t="inlineStr">
        <is>
          <t>Wk 10</t>
        </is>
      </c>
      <c r="N76" s="382" t="n"/>
      <c r="O76" s="336" t="n"/>
      <c r="P76" s="336" t="n"/>
      <c r="Q76" s="342" t="inlineStr">
        <is>
          <t>Wk 11</t>
        </is>
      </c>
      <c r="T76" s="382" t="n"/>
      <c r="U76" s="336" t="n"/>
      <c r="V76" s="336" t="n"/>
      <c r="W76" s="342" t="inlineStr">
        <is>
          <t>Wk 12</t>
        </is>
      </c>
      <c r="Z76" s="382" t="n"/>
      <c r="AA76" s="336" t="n"/>
      <c r="AB76" s="336" t="n"/>
      <c r="AC76" s="37" t="n"/>
    </row>
    <row r="77" ht="15.75" customHeight="1">
      <c r="C77" s="78" t="n"/>
      <c r="D77" s="74" t="inlineStr">
        <is>
          <t>Esercizio</t>
        </is>
      </c>
      <c r="E77" s="95" t="inlineStr">
        <is>
          <t>TEMPO</t>
        </is>
      </c>
      <c r="F77" s="34" t="inlineStr">
        <is>
          <t>REP</t>
        </is>
      </c>
      <c r="G77" s="95" t="inlineStr">
        <is>
          <t>SET</t>
        </is>
      </c>
      <c r="H77" s="73" t="inlineStr">
        <is>
          <t>CARICO</t>
        </is>
      </c>
      <c r="I77" s="140" t="inlineStr">
        <is>
          <t>Rest</t>
        </is>
      </c>
      <c r="J77" s="140" t="inlineStr">
        <is>
          <t>TUT es</t>
        </is>
      </c>
      <c r="K77" s="95" t="inlineStr">
        <is>
          <t>TEMPO</t>
        </is>
      </c>
      <c r="L77" s="34" t="inlineStr">
        <is>
          <t>REP</t>
        </is>
      </c>
      <c r="M77" s="95" t="inlineStr">
        <is>
          <t>SET</t>
        </is>
      </c>
      <c r="N77" s="73" t="inlineStr">
        <is>
          <t>CARICO</t>
        </is>
      </c>
      <c r="O77" s="140" t="inlineStr">
        <is>
          <t>Rest</t>
        </is>
      </c>
      <c r="P77" s="140" t="inlineStr">
        <is>
          <t>TUT es</t>
        </is>
      </c>
      <c r="Q77" s="95" t="inlineStr">
        <is>
          <t>TEMPO</t>
        </is>
      </c>
      <c r="R77" s="34" t="inlineStr">
        <is>
          <t>REP</t>
        </is>
      </c>
      <c r="S77" s="95" t="inlineStr">
        <is>
          <t>SET</t>
        </is>
      </c>
      <c r="T77" s="73" t="inlineStr">
        <is>
          <t>CARICO</t>
        </is>
      </c>
      <c r="U77" s="140" t="inlineStr">
        <is>
          <t>Rest</t>
        </is>
      </c>
      <c r="V77" s="140" t="inlineStr">
        <is>
          <t>TUT es</t>
        </is>
      </c>
      <c r="W77" s="95" t="inlineStr">
        <is>
          <t>TEMPO</t>
        </is>
      </c>
      <c r="X77" s="34" t="inlineStr">
        <is>
          <t>REP</t>
        </is>
      </c>
      <c r="Y77" s="95" t="inlineStr">
        <is>
          <t>SET</t>
        </is>
      </c>
      <c r="Z77" s="73" t="inlineStr">
        <is>
          <t>CARICO</t>
        </is>
      </c>
      <c r="AA77" s="140" t="inlineStr">
        <is>
          <t>Rest</t>
        </is>
      </c>
      <c r="AB77" s="140" t="inlineStr">
        <is>
          <t>TUT es</t>
        </is>
      </c>
      <c r="AC77" s="37" t="n"/>
    </row>
    <row r="78" ht="15.75" customHeight="1">
      <c r="C78" s="78" t="n"/>
      <c r="D78" s="79" t="inlineStr">
        <is>
          <t>1) Sospensione due mani multipresa</t>
        </is>
      </c>
      <c r="E78" s="94" t="n"/>
      <c r="F78" s="35" t="n"/>
      <c r="G78" s="94" t="n"/>
      <c r="H78" s="324" t="inlineStr">
        <is>
          <t>≥10</t>
        </is>
      </c>
      <c r="I78" t="n">
        <v>6</v>
      </c>
      <c r="J78" s="323">
        <f>(E78*F78)+(F78*I78)</f>
        <v/>
      </c>
      <c r="K78" s="94" t="n"/>
      <c r="L78" s="35" t="n"/>
      <c r="M78" s="94" t="n"/>
      <c r="N78" s="324" t="n"/>
      <c r="O78">
        <f>$I78</f>
        <v/>
      </c>
      <c r="P78" s="323">
        <f>(K78*L78)+(L78*O78)</f>
        <v/>
      </c>
      <c r="Q78" s="94" t="n"/>
      <c r="R78" s="35" t="n"/>
      <c r="S78" s="94" t="n"/>
      <c r="T78" s="324" t="n"/>
      <c r="U78">
        <f>$I78</f>
        <v/>
      </c>
      <c r="V78" s="323">
        <f>(Q78*R78)+(R78*U78)</f>
        <v/>
      </c>
      <c r="W78" s="94" t="n"/>
      <c r="X78" s="35" t="n"/>
      <c r="Y78" s="94" t="n"/>
      <c r="Z78" s="324" t="n"/>
      <c r="AA78">
        <f>$I78</f>
        <v/>
      </c>
      <c r="AB78" s="323">
        <f>(W78*X78)+(X78*AA78)</f>
        <v/>
      </c>
      <c r="AC78" s="37" t="n"/>
    </row>
    <row r="79" ht="15.75" customHeight="1">
      <c r="C79" s="78" t="n"/>
      <c r="D79" s="144" t="inlineStr">
        <is>
          <t>2) Sospensioni due mani multipresa</t>
        </is>
      </c>
      <c r="E79" s="145" t="n"/>
      <c r="F79" s="149" t="n"/>
      <c r="G79" s="145" t="n"/>
      <c r="H79" s="146" t="inlineStr">
        <is>
          <t>≥-10</t>
        </is>
      </c>
      <c r="I79" s="150" t="n">
        <v>5</v>
      </c>
      <c r="J79" s="147">
        <f>(E79*F79)+(F79*I79)</f>
        <v/>
      </c>
      <c r="K79" s="145" t="n"/>
      <c r="L79" s="149" t="n"/>
      <c r="M79" s="145" t="n"/>
      <c r="N79" s="146" t="n"/>
      <c r="O79" s="150">
        <f>$I79</f>
        <v/>
      </c>
      <c r="P79" s="147">
        <f>(K79*L79)+(L79*O79)</f>
        <v/>
      </c>
      <c r="Q79" s="145" t="n"/>
      <c r="R79" s="149" t="n"/>
      <c r="S79" s="145" t="n"/>
      <c r="T79" s="146" t="n"/>
      <c r="U79" s="150">
        <f>$I79</f>
        <v/>
      </c>
      <c r="V79" s="147">
        <f>(Q79*R79)+(R79*U79)</f>
        <v/>
      </c>
      <c r="W79" s="145" t="n"/>
      <c r="X79" s="149" t="n"/>
      <c r="Y79" s="145" t="n"/>
      <c r="Z79" s="146" t="n"/>
      <c r="AA79" s="150">
        <f>$I79</f>
        <v/>
      </c>
      <c r="AB79" s="147">
        <f>(W79*X79)+(X79*AA79)</f>
        <v/>
      </c>
      <c r="AC79" s="37" t="n"/>
    </row>
    <row r="80" ht="15.75" customHeight="1">
      <c r="C80" s="78" t="n"/>
      <c r="D80" s="142" t="inlineStr">
        <is>
          <t>Volume totale:</t>
        </is>
      </c>
      <c r="E80" s="324">
        <f t="array" ref="E80">SUMPRODUCT((E78:E79*F78:F79)*G78:G79)</f>
        <v/>
      </c>
      <c r="H80" s="383" t="n"/>
      <c r="J80" s="323">
        <f>(E80*F80)+(F80*I80)</f>
        <v/>
      </c>
      <c r="K80" s="324">
        <f t="array" ref="K80">SUMPRODUCT((K78:K79*L78:L79)*M78:M79)</f>
        <v/>
      </c>
      <c r="N80" s="383" t="n"/>
      <c r="P80" s="323">
        <f>(K80*L80)+(L80*O80)</f>
        <v/>
      </c>
      <c r="Q80" s="324">
        <f t="array" ref="Q80">SUMPRODUCT((Q78:Q79*R78:R79)*S78:S79)</f>
        <v/>
      </c>
      <c r="T80" s="383" t="n"/>
      <c r="V80" s="323">
        <f>(Q80*R80)+(R80*U80)</f>
        <v/>
      </c>
      <c r="W80" s="324">
        <f t="array" ref="W80">SUMPRODUCT((W78:W79*X78:X79)*Y78:Y79)</f>
        <v/>
      </c>
      <c r="Z80" s="383" t="n"/>
      <c r="AB80" s="323">
        <f>(W80*X80)+(X80*AA80)</f>
        <v/>
      </c>
      <c r="AC80" s="37" t="n"/>
    </row>
    <row r="81" ht="15.75" customHeight="1">
      <c r="C81" s="78" t="n"/>
      <c r="D81" s="143" t="n"/>
      <c r="E81" s="81" t="n"/>
      <c r="F81" s="323" t="n"/>
      <c r="G81" s="323" t="n"/>
      <c r="H81" s="324" t="n"/>
      <c r="K81" s="323" t="n"/>
      <c r="L81" s="323" t="n"/>
      <c r="M81" s="323" t="n"/>
      <c r="N81" s="324" t="n"/>
      <c r="Q81" s="323" t="n"/>
      <c r="R81" s="323" t="n"/>
      <c r="S81" s="323" t="n"/>
      <c r="T81" s="324" t="n"/>
      <c r="W81" s="81" t="n"/>
      <c r="X81" s="323" t="n"/>
      <c r="Y81" s="323" t="n"/>
      <c r="Z81" s="324" t="n"/>
      <c r="AC81" s="37" t="n"/>
    </row>
    <row r="82" ht="15.6" customHeight="1">
      <c r="C82" s="78" t="n"/>
      <c r="D82" s="142" t="inlineStr">
        <is>
          <t xml:space="preserve">Recupero:  </t>
        </is>
      </c>
      <c r="E82" s="334" t="inlineStr">
        <is>
          <t xml:space="preserve"> 1) Tra le ripetizioni 6"
											</t>
        </is>
      </c>
      <c r="H82" s="383" t="n"/>
      <c r="K82" s="334" t="inlineStr">
        <is>
          <t xml:space="preserve"> 1) Tra le ripetizioni 6"
											</t>
        </is>
      </c>
      <c r="N82" s="383" t="n"/>
      <c r="Q82" s="334" t="inlineStr">
        <is>
          <t xml:space="preserve"> 1) Tra le ripetizioni 6"
											</t>
        </is>
      </c>
      <c r="T82" s="383" t="n"/>
      <c r="W82" s="334" t="inlineStr">
        <is>
          <t xml:space="preserve"> 1) Tra le ripetizioni 6"
											</t>
        </is>
      </c>
      <c r="Z82" s="383" t="n"/>
      <c r="AC82" s="37" t="n"/>
    </row>
    <row r="83" ht="15.6" customHeight="1">
      <c r="C83" s="78" t="n"/>
      <c r="D83" s="80" t="n"/>
      <c r="E83" s="332" t="inlineStr">
        <is>
          <t xml:space="preserve"> Tra le serie 4-6'</t>
        </is>
      </c>
      <c r="H83" s="383" t="n"/>
      <c r="K83" s="332" t="inlineStr">
        <is>
          <t xml:space="preserve"> Tra le serie 4-6'</t>
        </is>
      </c>
      <c r="N83" s="383" t="n"/>
      <c r="Q83" s="332" t="inlineStr">
        <is>
          <t xml:space="preserve"> Tra le serie 4-6'</t>
        </is>
      </c>
      <c r="T83" s="383" t="n"/>
      <c r="W83" s="332" t="inlineStr">
        <is>
          <t xml:space="preserve"> Tra le serie 4-6'</t>
        </is>
      </c>
      <c r="Z83" s="383" t="n"/>
      <c r="AC83" s="37" t="n"/>
    </row>
    <row r="84" ht="15.6" customHeight="1">
      <c r="C84" s="78" t="n"/>
      <c r="D84" s="80" t="n"/>
      <c r="E84" s="332" t="inlineStr">
        <is>
          <t xml:space="preserve"> 2) Tra le ripetizioni 5"
											</t>
        </is>
      </c>
      <c r="H84" s="383" t="n"/>
      <c r="K84" s="332" t="inlineStr">
        <is>
          <t xml:space="preserve"> 2) Tra le ripetizioni 5"
											</t>
        </is>
      </c>
      <c r="N84" s="383" t="n"/>
      <c r="Q84" s="332" t="inlineStr">
        <is>
          <t xml:space="preserve"> 2) Tra le ripetizioni 5"
											</t>
        </is>
      </c>
      <c r="T84" s="383" t="n"/>
      <c r="W84" s="332" t="inlineStr">
        <is>
          <t xml:space="preserve"> 2) Tra le ripetizioni 5"
											</t>
        </is>
      </c>
      <c r="Z84" s="383" t="n"/>
      <c r="AC84" s="37" t="n"/>
    </row>
    <row r="85" ht="15.6" customHeight="1">
      <c r="C85" s="78" t="n"/>
      <c r="D85" s="80" t="n"/>
      <c r="E85" s="332" t="inlineStr">
        <is>
          <t xml:space="preserve"> Tra le serie 5-7'</t>
        </is>
      </c>
      <c r="H85" s="383" t="n"/>
      <c r="K85" s="332" t="inlineStr">
        <is>
          <t xml:space="preserve"> Tra le serie 5-7'</t>
        </is>
      </c>
      <c r="N85" s="383" t="n"/>
      <c r="Q85" s="332" t="inlineStr">
        <is>
          <t xml:space="preserve"> Tra le serie 5-7'</t>
        </is>
      </c>
      <c r="T85" s="383" t="n"/>
      <c r="W85" s="332" t="inlineStr">
        <is>
          <t xml:space="preserve"> Tra le serie 5-7'</t>
        </is>
      </c>
      <c r="Z85" s="383" t="n"/>
      <c r="AC85" s="39" t="n"/>
    </row>
    <row r="86" ht="15.6" customHeight="1">
      <c r="C86" s="78" t="n"/>
      <c r="D86" s="80" t="n"/>
      <c r="E86" s="328" t="n"/>
      <c r="F86" s="328" t="n"/>
      <c r="G86" s="328" t="n"/>
      <c r="H86" s="328" t="n"/>
      <c r="I86" s="328" t="n"/>
      <c r="J86" s="328" t="n"/>
      <c r="K86" s="328" t="n"/>
      <c r="L86" s="328" t="n"/>
      <c r="M86" s="328" t="n"/>
      <c r="N86" s="328" t="n"/>
      <c r="O86" s="328" t="n"/>
      <c r="P86" s="328" t="n"/>
      <c r="Q86" s="328" t="n"/>
      <c r="R86" s="328" t="n"/>
      <c r="S86" s="328" t="n"/>
      <c r="T86" s="328" t="n"/>
      <c r="U86" s="328" t="n"/>
      <c r="V86" s="328" t="n"/>
      <c r="W86" s="328" t="n"/>
      <c r="X86" s="328" t="n"/>
      <c r="Y86" s="328" t="n"/>
      <c r="Z86" s="328" t="n"/>
      <c r="AA86" s="328" t="n"/>
      <c r="AB86" s="328" t="n"/>
      <c r="AC86" s="37" t="n"/>
    </row>
    <row r="87" ht="14.45" customHeight="1">
      <c r="C87" s="78" t="n"/>
      <c r="D87" s="348" t="inlineStr">
        <is>
          <t>Esegui le sospensioni senza arrivare mai allo sfinimento (tranne nell'AMRAP), nel caso siano facili aumenta la zavorra</t>
        </is>
      </c>
      <c r="X87" s="40" t="n"/>
      <c r="Y87" s="40" t="n"/>
      <c r="Z87" s="40" t="n"/>
      <c r="AA87" s="40" t="n"/>
      <c r="AB87" s="40" t="n"/>
      <c r="AC87" s="41" t="n"/>
    </row>
    <row r="88" ht="14.45" customHeight="1">
      <c r="C88" s="78" t="n"/>
      <c r="D88" s="348" t="inlineStr">
        <is>
          <t>Esegui l'AMRAP entrambi i giorni di allenamento recuperando 3' prima di farlo</t>
        </is>
      </c>
      <c r="S88" s="348" t="n"/>
      <c r="T88" s="348" t="n"/>
      <c r="U88" s="348" t="n"/>
      <c r="V88" s="348" t="n"/>
      <c r="W88" s="348" t="n"/>
      <c r="X88" s="40" t="n"/>
      <c r="Y88" s="40" t="n"/>
      <c r="Z88" s="40" t="n"/>
      <c r="AA88" s="40" t="n"/>
      <c r="AB88" s="40" t="n"/>
      <c r="AC88" s="41" t="n"/>
    </row>
    <row r="89" ht="15.75" customHeight="1" thickBot="1">
      <c r="C89" s="82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344">
        <f>$Y$21+56</f>
        <v/>
      </c>
      <c r="Z89" s="9" t="n"/>
      <c r="AA89" s="9" t="n"/>
      <c r="AB89" s="9" t="n"/>
      <c r="AC89" s="386" t="n"/>
    </row>
    <row r="90" ht="15.75" customHeight="1" thickTop="1"/>
  </sheetData>
  <mergeCells count="117">
    <mergeCell ref="K70:N70"/>
    <mergeCell ref="K48:N48"/>
    <mergeCell ref="W70:Z70"/>
    <mergeCell ref="W48:Z48"/>
    <mergeCell ref="K7:N7"/>
    <mergeCell ref="K38:N38"/>
    <mergeCell ref="W29:Z29"/>
    <mergeCell ref="E37:H37"/>
    <mergeCell ref="W38:Z38"/>
    <mergeCell ref="L3:M3"/>
    <mergeCell ref="W13:Z13"/>
    <mergeCell ref="E47:H47"/>
    <mergeCell ref="Q13:T13"/>
    <mergeCell ref="C4:Y4"/>
    <mergeCell ref="K49:N49"/>
    <mergeCell ref="Q7:T7"/>
    <mergeCell ref="W15:Z15"/>
    <mergeCell ref="E64:H64"/>
    <mergeCell ref="E73:H73"/>
    <mergeCell ref="K35:N35"/>
    <mergeCell ref="E82:H82"/>
    <mergeCell ref="Q64:T64"/>
    <mergeCell ref="Q73:T73"/>
    <mergeCell ref="D87:W87"/>
    <mergeCell ref="K76:N76"/>
    <mergeCell ref="W50:Z50"/>
    <mergeCell ref="Q35:T35"/>
    <mergeCell ref="Q50:T50"/>
    <mergeCell ref="C62:AC62"/>
    <mergeCell ref="E49:H49"/>
    <mergeCell ref="D20:K20"/>
    <mergeCell ref="E45:H45"/>
    <mergeCell ref="Q49:T49"/>
    <mergeCell ref="E85:H85"/>
    <mergeCell ref="O15:V15"/>
    <mergeCell ref="D19:W19"/>
    <mergeCell ref="Y55:AC55"/>
    <mergeCell ref="K37:N37"/>
    <mergeCell ref="K13:N13"/>
    <mergeCell ref="W37:Z37"/>
    <mergeCell ref="K15:N15"/>
    <mergeCell ref="C27:AC27"/>
    <mergeCell ref="Q37:T37"/>
    <mergeCell ref="K80:N80"/>
    <mergeCell ref="E48:H48"/>
    <mergeCell ref="W80:Z80"/>
    <mergeCell ref="K64:N64"/>
    <mergeCell ref="E38:H38"/>
    <mergeCell ref="W64:Z64"/>
    <mergeCell ref="Q29:T29"/>
    <mergeCell ref="Q38:T38"/>
    <mergeCell ref="K72:N72"/>
    <mergeCell ref="K41:N41"/>
    <mergeCell ref="K50:N50"/>
    <mergeCell ref="W41:Z41"/>
    <mergeCell ref="W16:Z16"/>
    <mergeCell ref="C5:AC5"/>
    <mergeCell ref="D54:Q54"/>
    <mergeCell ref="K82:N82"/>
    <mergeCell ref="E16:H16"/>
    <mergeCell ref="E76:H76"/>
    <mergeCell ref="W82:Z82"/>
    <mergeCell ref="Q76:T76"/>
    <mergeCell ref="C26:Y26"/>
    <mergeCell ref="E50:H50"/>
    <mergeCell ref="K83:N83"/>
    <mergeCell ref="K45:N45"/>
    <mergeCell ref="W84:Z84"/>
    <mergeCell ref="Z26:AC26"/>
    <mergeCell ref="Q83:T83"/>
    <mergeCell ref="W45:Z45"/>
    <mergeCell ref="O16:V16"/>
    <mergeCell ref="K29:N29"/>
    <mergeCell ref="D53:W53"/>
    <mergeCell ref="L25:M25"/>
    <mergeCell ref="E29:H29"/>
    <mergeCell ref="K47:N47"/>
    <mergeCell ref="D88:R88"/>
    <mergeCell ref="Q72:T72"/>
    <mergeCell ref="L60:M60"/>
    <mergeCell ref="Q85:T85"/>
    <mergeCell ref="W47:Z47"/>
    <mergeCell ref="E13:H13"/>
    <mergeCell ref="E84:H84"/>
    <mergeCell ref="C61:Y61"/>
    <mergeCell ref="E15:H15"/>
    <mergeCell ref="W7:Z7"/>
    <mergeCell ref="W72:Z72"/>
    <mergeCell ref="E80:H80"/>
    <mergeCell ref="Q80:T80"/>
    <mergeCell ref="E70:H70"/>
    <mergeCell ref="C24:D24"/>
    <mergeCell ref="Q70:T70"/>
    <mergeCell ref="Q48:T48"/>
    <mergeCell ref="K73:N73"/>
    <mergeCell ref="E7:H7"/>
    <mergeCell ref="E72:H72"/>
    <mergeCell ref="Q45:T45"/>
    <mergeCell ref="E41:H41"/>
    <mergeCell ref="W73:Z73"/>
    <mergeCell ref="Y89:AC89"/>
    <mergeCell ref="Q41:T41"/>
    <mergeCell ref="Y21:AC21"/>
    <mergeCell ref="Q47:T47"/>
    <mergeCell ref="W49:Z49"/>
    <mergeCell ref="K16:N16"/>
    <mergeCell ref="Z61:AC61"/>
    <mergeCell ref="E83:H83"/>
    <mergeCell ref="W83:Z83"/>
    <mergeCell ref="E35:H35"/>
    <mergeCell ref="W35:Z35"/>
    <mergeCell ref="Q82:T82"/>
    <mergeCell ref="K85:N85"/>
    <mergeCell ref="W76:Z76"/>
    <mergeCell ref="W85:Z85"/>
    <mergeCell ref="K84:N84"/>
    <mergeCell ref="Q84:T84"/>
  </mergeCells>
  <pageMargins left="0.2362204724409449" right="0.2362204724409449" top="0.7480314960629921" bottom="0.7480314960629921" header="0.3149606299212598" footer="0.3149606299212598"/>
  <pageSetup orientation="portrait" paperSize="9" scale="11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2026-04-16T10:15:15Z</dcterms:modified>
  <cp:lastModifiedBy>Samuele Malavasi</cp:lastModifiedBy>
</cp:coreProperties>
</file>