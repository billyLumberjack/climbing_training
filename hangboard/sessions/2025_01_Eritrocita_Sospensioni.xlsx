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6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5" pivotButton="0" quotePrefix="0" xfId="0"/>
    <xf numFmtId="0" fontId="8" fillId="0" borderId="66" applyAlignment="1" pivotButton="0" quotePrefix="0" xfId="0">
      <alignment horizontal="left" vertical="center"/>
    </xf>
    <xf numFmtId="0" fontId="8" fillId="0" borderId="66" applyAlignment="1" pivotButton="0" quotePrefix="0" xfId="0">
      <alignment horizontal="left" vertical="center" wrapText="1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217850</colOff>
      <row>49</row>
      <rowOff>20782</rowOff>
    </from>
    <to>
      <col>13</col>
      <colOff>211455</colOff>
      <row>49</row>
      <rowOff>478675</rowOff>
    </to>
    <pic>
      <nvPicPr>
        <cNvPr id="8" name="Immagine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5198559" y="14706600"/>
          <a:ext cx="1282078" cy="4502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I67"/>
  <sheetViews>
    <sheetView topLeftCell="A47" zoomScaleNormal="100" workbookViewId="0">
      <selection activeCell="T59" sqref="T59"/>
    </sheetView>
  </sheetViews>
  <sheetFormatPr baseColWidth="8" defaultRowHeight="14.45"/>
  <cols>
    <col width="4" customWidth="1" min="3" max="3"/>
    <col width="25.7109375" bestFit="1" customWidth="1" min="4" max="4"/>
    <col width="6.28515625" customWidth="1" min="5" max="8"/>
    <col hidden="1" outlineLevel="1" width="6.28515625" customWidth="1" min="9" max="9"/>
    <col hidden="1" outlineLevel="1" width="8.7109375" customWidth="1" min="10" max="10"/>
    <col collapsed="1" width="6.28515625" customWidth="1" min="11" max="11"/>
    <col width="6.28515625" customWidth="1" min="12" max="14"/>
    <col hidden="1" outlineLevel="1" width="6.28515625" customWidth="1" min="15" max="16"/>
    <col collapsed="1" width="6.28515625" customWidth="1" min="17" max="17"/>
    <col width="6.28515625" customWidth="1" min="18" max="20"/>
    <col hidden="1" outlineLevel="1" width="6.28515625" customWidth="1" min="21" max="22"/>
    <col collapsed="1" width="6.28515625" customWidth="1" min="23" max="23"/>
    <col width="6.28515625" customWidth="1" min="24" max="26"/>
    <col hidden="1" outlineLevel="1" width="6.28515625" customWidth="1" min="27" max="28"/>
    <col collapsed="1" width="4.85546875" customWidth="1" min="29" max="29"/>
    <col width="4.85546875" customWidth="1" min="30" max="32"/>
    <col width="22.85546875" customWidth="1" min="33" max="33"/>
    <col width="4.85546875" bestFit="1" customWidth="1" min="34" max="34"/>
    <col width="4.28515625" bestFit="1" customWidth="1" min="35" max="35"/>
    <col width="3.5703125" customWidth="1" min="36" max="36"/>
    <col width="17.28515625" bestFit="1" customWidth="1" min="37" max="37"/>
    <col width="4.7109375" customWidth="1" min="38" max="53"/>
    <col width="3.140625" customWidth="1" min="54" max="54"/>
  </cols>
  <sheetData>
    <row r="3" hidden="1" ht="16.15" customHeight="1" thickBot="1">
      <c r="C3" s="24" t="inlineStr">
        <is>
          <t>WEEK 1-4</t>
        </is>
      </c>
      <c r="D3" s="25" t="n"/>
      <c r="G3" s="26" t="n"/>
      <c r="H3" s="26" t="n"/>
      <c r="I3" s="124" t="n"/>
      <c r="J3" s="124" t="n"/>
      <c r="L3" s="302" t="inlineStr">
        <is>
          <t>AUTUNNO 2024</t>
        </is>
      </c>
      <c r="M3" s="9" t="n"/>
      <c r="N3" s="27" t="n"/>
      <c r="O3" s="27" t="n"/>
      <c r="P3" s="27" t="n"/>
      <c r="Q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335" t="inlineStr">
        <is>
          <t>SAMUELE MALAVASI</t>
        </is>
      </c>
      <c r="AG3" s="41" t="n"/>
      <c r="AH3" s="41" t="n"/>
      <c r="AI3" s="41" t="n"/>
    </row>
    <row r="4" hidden="1" ht="40.15" customHeight="1" thickBot="1" thickTop="1">
      <c r="C4" s="303" t="n"/>
      <c r="D4" s="357" t="n"/>
      <c r="E4" s="357" t="n"/>
      <c r="F4" s="357" t="n"/>
      <c r="G4" s="357" t="n"/>
      <c r="H4" s="357" t="n"/>
      <c r="I4" s="357" t="n"/>
      <c r="J4" s="357" t="n"/>
      <c r="K4" s="357" t="n"/>
      <c r="L4" s="357" t="n"/>
      <c r="M4" s="357" t="n"/>
      <c r="N4" s="357" t="n"/>
      <c r="O4" s="357" t="n"/>
      <c r="P4" s="357" t="n"/>
      <c r="Q4" s="357" t="n"/>
      <c r="R4" s="357" t="n"/>
      <c r="S4" s="357" t="n"/>
      <c r="T4" s="357" t="n"/>
      <c r="U4" s="357" t="n"/>
      <c r="V4" s="357" t="n"/>
      <c r="W4" s="357" t="n"/>
      <c r="X4" s="357" t="n"/>
      <c r="Y4" s="357" t="n"/>
      <c r="AA4" s="155" t="n"/>
      <c r="AB4" s="155" t="n"/>
      <c r="AC4" s="156" t="inlineStr">
        <is>
          <t xml:space="preserve">S M </t>
        </is>
      </c>
      <c r="AD4" s="7" t="n"/>
      <c r="AG4" s="43" t="n"/>
      <c r="AH4" s="43" t="n"/>
      <c r="AI4" s="43" t="n"/>
    </row>
    <row r="5" hidden="1" ht="18.6" customHeight="1" thickBot="1" thickTop="1">
      <c r="C5" s="358" t="inlineStr">
        <is>
          <t>2024_10_SOSPENSIONI</t>
        </is>
      </c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9" t="n"/>
    </row>
    <row r="6" hidden="1" ht="14.45" customHeight="1" thickTop="1">
      <c r="C6" s="74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6" t="n"/>
      <c r="AG6" s="41" t="n"/>
      <c r="AH6" s="41" t="n"/>
      <c r="AI6" s="41" t="n"/>
    </row>
    <row r="7" hidden="1" ht="15.6" customHeight="1">
      <c r="C7" s="77" t="n"/>
      <c r="D7" s="24" t="inlineStr">
        <is>
          <t>FORZA</t>
        </is>
      </c>
      <c r="E7" s="308" t="inlineStr">
        <is>
          <t>Wk 1</t>
        </is>
      </c>
      <c r="H7" s="360" t="n"/>
      <c r="I7" s="308" t="n"/>
      <c r="J7" s="308" t="n"/>
      <c r="K7" s="308" t="inlineStr">
        <is>
          <t>Wk 2</t>
        </is>
      </c>
      <c r="N7" s="360" t="n"/>
      <c r="O7" s="308" t="n"/>
      <c r="P7" s="308" t="n"/>
      <c r="Q7" s="308" t="inlineStr">
        <is>
          <t>Wk 3</t>
        </is>
      </c>
      <c r="T7" s="360" t="n"/>
      <c r="U7" s="308" t="n"/>
      <c r="V7" s="308" t="n"/>
      <c r="W7" s="308" t="inlineStr">
        <is>
          <t>Wk 4</t>
        </is>
      </c>
      <c r="Z7" s="360" t="n"/>
      <c r="AA7" s="325" t="n"/>
      <c r="AB7" s="325" t="n"/>
      <c r="AC7" s="32" t="n"/>
    </row>
    <row r="8" hidden="1" ht="15.6" customHeight="1">
      <c r="C8" s="77" t="n"/>
      <c r="D8" s="73" t="inlineStr">
        <is>
          <t>Esercizio</t>
        </is>
      </c>
      <c r="E8" s="94" t="inlineStr">
        <is>
          <t>TEMPO</t>
        </is>
      </c>
      <c r="F8" s="33" t="inlineStr">
        <is>
          <t>REP</t>
        </is>
      </c>
      <c r="G8" s="94" t="inlineStr">
        <is>
          <t>SET</t>
        </is>
      </c>
      <c r="H8" s="72" t="inlineStr">
        <is>
          <t>CARICO</t>
        </is>
      </c>
      <c r="I8" s="123" t="inlineStr">
        <is>
          <t>Rest</t>
        </is>
      </c>
      <c r="J8" s="123" t="inlineStr">
        <is>
          <t>TUT es</t>
        </is>
      </c>
      <c r="K8" s="94" t="inlineStr">
        <is>
          <t>TEMPO</t>
        </is>
      </c>
      <c r="L8" s="33" t="inlineStr">
        <is>
          <t>REP</t>
        </is>
      </c>
      <c r="M8" s="94" t="inlineStr">
        <is>
          <t>SET</t>
        </is>
      </c>
      <c r="N8" s="72" t="inlineStr">
        <is>
          <t>CARICO</t>
        </is>
      </c>
      <c r="O8" s="123" t="inlineStr">
        <is>
          <t>Rest</t>
        </is>
      </c>
      <c r="P8" s="123" t="inlineStr">
        <is>
          <t>TUT es</t>
        </is>
      </c>
      <c r="Q8" s="94" t="inlineStr">
        <is>
          <t>TEMPO</t>
        </is>
      </c>
      <c r="R8" s="33" t="inlineStr">
        <is>
          <t>REP</t>
        </is>
      </c>
      <c r="S8" s="94" t="inlineStr">
        <is>
          <t>SET</t>
        </is>
      </c>
      <c r="T8" s="72" t="inlineStr">
        <is>
          <t>CARICO</t>
        </is>
      </c>
      <c r="U8" s="123" t="inlineStr">
        <is>
          <t>Rest</t>
        </is>
      </c>
      <c r="V8" s="123" t="inlineStr">
        <is>
          <t>TUT es</t>
        </is>
      </c>
      <c r="W8" s="94" t="inlineStr">
        <is>
          <t>TEMPO</t>
        </is>
      </c>
      <c r="X8" s="33" t="inlineStr">
        <is>
          <t>REP</t>
        </is>
      </c>
      <c r="Y8" s="94" t="inlineStr">
        <is>
          <t>SET</t>
        </is>
      </c>
      <c r="Z8" s="72" t="inlineStr">
        <is>
          <t>CARICO</t>
        </is>
      </c>
      <c r="AA8" s="123" t="inlineStr">
        <is>
          <t>Rest</t>
        </is>
      </c>
      <c r="AB8" s="123" t="inlineStr">
        <is>
          <t>TUT es</t>
        </is>
      </c>
      <c r="AC8" s="32" t="n"/>
    </row>
    <row r="9" hidden="1" ht="16.15" customHeight="1">
      <c r="C9" s="77" t="n"/>
      <c r="D9" s="78" t="inlineStr">
        <is>
          <t>Stacchi da terra 20mm</t>
        </is>
      </c>
      <c r="E9" s="93" t="inlineStr">
        <is>
          <t>X</t>
        </is>
      </c>
      <c r="F9" s="34" t="n">
        <v>4</v>
      </c>
      <c r="G9" s="93" t="n">
        <v>3</v>
      </c>
      <c r="H9" s="226" t="inlineStr">
        <is>
          <t>RPE8,5</t>
        </is>
      </c>
      <c r="I9" s="327" t="n"/>
      <c r="J9" s="327">
        <f>(E9*F9)+(F9*I9)</f>
        <v/>
      </c>
      <c r="K9" s="93" t="inlineStr">
        <is>
          <t>X</t>
        </is>
      </c>
      <c r="L9" s="34" t="n">
        <v>3</v>
      </c>
      <c r="M9" s="93" t="n">
        <v>4</v>
      </c>
      <c r="N9" s="226" t="inlineStr">
        <is>
          <t>RPE8</t>
        </is>
      </c>
      <c r="O9">
        <f>$I9</f>
        <v/>
      </c>
      <c r="P9" s="327">
        <f>(K9*L9)+(L9*O9)</f>
        <v/>
      </c>
      <c r="Q9" s="93" t="inlineStr">
        <is>
          <t>X</t>
        </is>
      </c>
      <c r="R9" s="34" t="n">
        <v>2</v>
      </c>
      <c r="S9" s="93" t="n">
        <v>4</v>
      </c>
      <c r="T9" s="226" t="inlineStr">
        <is>
          <t>RPE8,5</t>
        </is>
      </c>
      <c r="U9">
        <f>$I9</f>
        <v/>
      </c>
      <c r="V9" s="327">
        <f>(Q9*R9)+(R9*U9)</f>
        <v/>
      </c>
      <c r="W9" s="93" t="inlineStr">
        <is>
          <t>X</t>
        </is>
      </c>
      <c r="X9" s="34" t="n">
        <v>1</v>
      </c>
      <c r="Y9" s="93" t="n">
        <v>1</v>
      </c>
      <c r="Z9" s="226" t="inlineStr">
        <is>
          <t>RPE10</t>
        </is>
      </c>
      <c r="AA9">
        <f>$I9</f>
        <v/>
      </c>
      <c r="AB9" s="327">
        <f>(W9*X9)+(X9*AA9)</f>
        <v/>
      </c>
      <c r="AC9" s="228" t="inlineStr">
        <is>
          <t>Dita attive - manda video a diversi carichi per verificare assetto dita</t>
        </is>
      </c>
      <c r="AD9" s="24" t="n"/>
      <c r="AE9" s="24" t="n"/>
      <c r="AF9" s="24" t="n"/>
    </row>
    <row r="10" hidden="1" ht="15.6" customHeight="1">
      <c r="C10" s="77" t="n"/>
      <c r="D10" s="125" t="inlineStr">
        <is>
          <t>Sospensioni svase</t>
        </is>
      </c>
      <c r="E10" s="126" t="n">
        <v>6</v>
      </c>
      <c r="F10" s="126" t="n">
        <v>3</v>
      </c>
      <c r="G10" s="126" t="n">
        <v>3</v>
      </c>
      <c r="H10" s="129" t="n"/>
      <c r="I10" s="321" t="n"/>
      <c r="J10" s="321">
        <f>(E10*F10)+(F10*I10)</f>
        <v/>
      </c>
      <c r="K10" s="126" t="n">
        <v>6</v>
      </c>
      <c r="L10" s="126" t="n">
        <v>3</v>
      </c>
      <c r="M10" s="126" t="n">
        <v>4</v>
      </c>
      <c r="N10" s="129" t="n"/>
      <c r="O10" s="128">
        <f>$I10</f>
        <v/>
      </c>
      <c r="P10" s="321">
        <f>(K10*L10)+(L10*O10)</f>
        <v/>
      </c>
      <c r="Q10" s="126" t="n">
        <v>6</v>
      </c>
      <c r="R10" s="126" t="n">
        <v>3</v>
      </c>
      <c r="S10" s="126" t="n">
        <v>3</v>
      </c>
      <c r="T10" s="129" t="n"/>
      <c r="U10" s="128">
        <f>$I10</f>
        <v/>
      </c>
      <c r="V10" s="321">
        <f>(Q10*R10)+(R10*U10)</f>
        <v/>
      </c>
      <c r="W10" s="126" t="n">
        <v>6</v>
      </c>
      <c r="X10" s="126" t="n">
        <v>3</v>
      </c>
      <c r="Y10" s="126" t="n">
        <v>2</v>
      </c>
      <c r="Z10" s="129" t="n"/>
      <c r="AA10" s="128">
        <f>$I10</f>
        <v/>
      </c>
      <c r="AB10" s="321">
        <f>(W10*X10)+(X10*AA10)</f>
        <v/>
      </c>
      <c r="AC10" s="32" t="n"/>
      <c r="AD10" s="7" t="n"/>
    </row>
    <row r="11" hidden="1" ht="15.6" customHeight="1">
      <c r="C11" s="77" t="n"/>
      <c r="D11" s="78" t="inlineStr">
        <is>
          <t>Stacchi pinze</t>
        </is>
      </c>
      <c r="E11" s="327" t="inlineStr">
        <is>
          <t>X</t>
        </is>
      </c>
      <c r="F11" s="93" t="n">
        <v>8</v>
      </c>
      <c r="G11" s="93" t="n">
        <v>2</v>
      </c>
      <c r="H11" s="127" t="n"/>
      <c r="I11" s="327" t="n"/>
      <c r="J11" s="327">
        <f>(E11*F11)+(F11*I11)</f>
        <v/>
      </c>
      <c r="K11" s="327" t="inlineStr">
        <is>
          <t>X</t>
        </is>
      </c>
      <c r="L11" s="93" t="n">
        <v>8</v>
      </c>
      <c r="M11" s="93" t="n">
        <v>3</v>
      </c>
      <c r="N11" s="127" t="n"/>
      <c r="O11">
        <f>$I11</f>
        <v/>
      </c>
      <c r="P11" s="327">
        <f>(K11*L11)+(L11*O11)</f>
        <v/>
      </c>
      <c r="Q11" s="327" t="inlineStr">
        <is>
          <t>X</t>
        </is>
      </c>
      <c r="R11" s="93" t="n">
        <v>10</v>
      </c>
      <c r="S11" s="93" t="n">
        <v>3</v>
      </c>
      <c r="T11" s="127" t="n"/>
      <c r="U11">
        <f>$I11</f>
        <v/>
      </c>
      <c r="V11" s="327">
        <f>(Q11*R11)+(R11*U11)</f>
        <v/>
      </c>
      <c r="W11" s="327" t="inlineStr">
        <is>
          <t>X</t>
        </is>
      </c>
      <c r="X11" s="93" t="n">
        <v>10</v>
      </c>
      <c r="Y11" s="93" t="n">
        <v>2</v>
      </c>
      <c r="Z11" s="127" t="n"/>
      <c r="AA11">
        <f>$I11</f>
        <v/>
      </c>
      <c r="AB11" s="327">
        <f>(W11*X11)+(X11*AA11)</f>
        <v/>
      </c>
      <c r="AC11" s="32" t="n"/>
    </row>
    <row r="12" hidden="1" ht="15.6" customHeight="1">
      <c r="C12" s="77" t="n"/>
      <c r="D12" s="125" t="inlineStr">
        <is>
          <t>Sospensioni due mani 20mm</t>
        </is>
      </c>
      <c r="E12" s="148" t="inlineStr">
        <is>
          <t>AMRAP</t>
        </is>
      </c>
      <c r="F12" s="126" t="n">
        <v>1</v>
      </c>
      <c r="G12" s="126" t="n">
        <v>1</v>
      </c>
      <c r="H12" s="227" t="n">
        <v>25</v>
      </c>
      <c r="I12" s="321" t="n"/>
      <c r="J12" s="321" t="n"/>
      <c r="K12" s="148" t="inlineStr">
        <is>
          <t>AMRAP</t>
        </is>
      </c>
      <c r="L12" s="126" t="n">
        <v>1</v>
      </c>
      <c r="M12" s="126" t="n">
        <v>1</v>
      </c>
      <c r="N12" s="227" t="n">
        <v>25</v>
      </c>
      <c r="O12" s="321" t="n"/>
      <c r="P12" s="321" t="n"/>
      <c r="Q12" s="148" t="inlineStr">
        <is>
          <t>AMRAP</t>
        </is>
      </c>
      <c r="R12" s="126" t="n">
        <v>1</v>
      </c>
      <c r="S12" s="126" t="n">
        <v>1</v>
      </c>
      <c r="T12" s="227" t="n">
        <v>25</v>
      </c>
      <c r="U12" s="321" t="n"/>
      <c r="V12" s="321" t="n"/>
      <c r="W12" s="148" t="inlineStr">
        <is>
          <t>AMRAP</t>
        </is>
      </c>
      <c r="X12" s="126" t="n">
        <v>1</v>
      </c>
      <c r="Y12" s="126" t="n">
        <v>1</v>
      </c>
      <c r="Z12" s="227" t="n">
        <v>25</v>
      </c>
      <c r="AA12" s="321" t="n"/>
      <c r="AB12" s="321" t="n"/>
      <c r="AC12" s="32" t="n"/>
    </row>
    <row r="13" hidden="1" ht="15.6" customHeight="1">
      <c r="C13" s="77" t="n"/>
      <c r="D13" s="79" t="inlineStr">
        <is>
          <t>Volume totale:</t>
        </is>
      </c>
      <c r="E13" s="328">
        <f t="array" ref="E13">SUMPRODUCT((E9:E11*F9:F11)*G9:G11)</f>
        <v/>
      </c>
      <c r="H13" s="361" t="n"/>
      <c r="I13" s="327" t="n"/>
      <c r="J13" s="327" t="n"/>
      <c r="K13" s="328">
        <f t="array" ref="K13">SUMPRODUCT((K9:K11*L9:L11)*M9:M11)</f>
        <v/>
      </c>
      <c r="N13" s="361" t="n"/>
      <c r="O13" s="327" t="n"/>
      <c r="P13" s="327" t="n"/>
      <c r="Q13" s="328">
        <f t="array" ref="Q13">SUMPRODUCT((Q9:Q11*R9:R11)*S9:S11)</f>
        <v/>
      </c>
      <c r="T13" s="361" t="n"/>
      <c r="U13" s="327" t="n"/>
      <c r="V13" s="327" t="n"/>
      <c r="W13" s="328">
        <f t="array" ref="W13">SUMPRODUCT((W9:W11*X9:X11)*Y9:Y11)</f>
        <v/>
      </c>
      <c r="Z13" s="361" t="n"/>
      <c r="AA13" s="327" t="n"/>
      <c r="AB13" s="327" t="n"/>
      <c r="AC13" s="32" t="n"/>
    </row>
    <row r="14" hidden="1" ht="15.6" customHeight="1">
      <c r="C14" s="77" t="n"/>
      <c r="D14" s="79" t="n"/>
      <c r="E14" s="80" t="n"/>
      <c r="F14" s="327" t="n"/>
      <c r="G14" s="327" t="n"/>
      <c r="H14" s="328" t="n"/>
      <c r="I14" s="327" t="n"/>
      <c r="J14" s="327" t="n"/>
      <c r="K14" s="327" t="n"/>
      <c r="L14" s="327" t="n"/>
      <c r="M14" s="327" t="n"/>
      <c r="N14" s="328" t="n"/>
      <c r="O14" s="327" t="n"/>
      <c r="P14" s="327" t="n"/>
      <c r="Q14" s="327" t="n"/>
      <c r="R14" s="327" t="n"/>
      <c r="S14" s="327" t="n"/>
      <c r="T14" s="328" t="n"/>
      <c r="U14" s="327" t="n"/>
      <c r="V14" s="327" t="n"/>
      <c r="W14" s="80" t="n"/>
      <c r="X14" s="327" t="n"/>
      <c r="Y14" s="327" t="n"/>
      <c r="Z14" s="328" t="n"/>
      <c r="AA14" s="327" t="n"/>
      <c r="AB14" s="327" t="n"/>
      <c r="AC14" s="47" t="n"/>
    </row>
    <row r="15" hidden="1" ht="15.6" customHeight="1">
      <c r="C15" s="77" t="n"/>
      <c r="D15" s="79" t="inlineStr">
        <is>
          <t xml:space="preserve">Recupero:  </t>
        </is>
      </c>
      <c r="E15" s="318" t="inlineStr">
        <is>
          <t xml:space="preserve"> Tra le ripetizioni 12"							</t>
        </is>
      </c>
      <c r="H15" s="361" t="n"/>
      <c r="I15" s="314" t="n"/>
      <c r="J15" s="314" t="n"/>
      <c r="K15" s="318" t="inlineStr">
        <is>
          <t xml:space="preserve"> Tra le ripetizioni 12"							</t>
        </is>
      </c>
      <c r="N15" s="361" t="n"/>
      <c r="O15" s="362" t="inlineStr">
        <is>
          <t xml:space="preserve"> Tra le ripetizioni 12"							</t>
        </is>
      </c>
      <c r="V15" s="361" t="n"/>
      <c r="W15" s="318" t="inlineStr">
        <is>
          <t xml:space="preserve"> Tra le ripetizioni 12"							</t>
        </is>
      </c>
      <c r="Z15" s="361" t="n"/>
      <c r="AA15" s="317" t="n"/>
      <c r="AB15" s="317" t="n"/>
      <c r="AC15" s="36" t="n"/>
    </row>
    <row r="16" hidden="1" ht="15.6" customHeight="1">
      <c r="C16" s="77" t="n"/>
      <c r="D16" s="79" t="n"/>
      <c r="E16" s="315" t="inlineStr">
        <is>
          <t xml:space="preserve"> Tra le serie 2'++</t>
        </is>
      </c>
      <c r="H16" s="361" t="n"/>
      <c r="I16" s="314" t="n"/>
      <c r="J16" s="314" t="n"/>
      <c r="K16" s="315" t="inlineStr">
        <is>
          <t xml:space="preserve"> Tra le serie 2'++</t>
        </is>
      </c>
      <c r="N16" s="361" t="n"/>
      <c r="O16" s="363" t="inlineStr">
        <is>
          <t xml:space="preserve"> Tra le serie 2'++</t>
        </is>
      </c>
      <c r="V16" s="361" t="n"/>
      <c r="W16" s="315" t="inlineStr">
        <is>
          <t xml:space="preserve"> Tra le serie 2'++</t>
        </is>
      </c>
      <c r="Z16" s="361" t="n"/>
      <c r="AA16" s="314" t="n"/>
      <c r="AB16" s="314" t="n"/>
      <c r="AC16" s="36" t="n"/>
    </row>
    <row r="17" hidden="1" ht="15.6" customHeight="1">
      <c r="C17" s="77" t="n"/>
      <c r="D17" s="79" t="n"/>
      <c r="E17" s="314" t="n"/>
      <c r="F17" s="314" t="n"/>
      <c r="G17" s="314" t="n"/>
      <c r="H17" s="314" t="n"/>
      <c r="I17" s="314" t="n"/>
      <c r="J17" s="314" t="n"/>
      <c r="K17" s="314" t="n"/>
      <c r="L17" s="314" t="n"/>
      <c r="M17" s="314" t="n"/>
      <c r="N17" s="314" t="n"/>
      <c r="O17" s="314" t="n"/>
      <c r="P17" s="314" t="n"/>
      <c r="Q17" s="314" t="n"/>
      <c r="R17" s="314" t="n"/>
      <c r="S17" s="314" t="n"/>
      <c r="T17" s="314" t="n"/>
      <c r="U17" s="314" t="n"/>
      <c r="V17" s="314" t="n"/>
      <c r="W17" s="314" t="n"/>
      <c r="X17" s="314" t="n"/>
      <c r="Y17" s="314" t="n"/>
      <c r="Z17" s="314" t="n"/>
      <c r="AA17" s="314" t="n"/>
      <c r="AB17" s="314" t="n"/>
      <c r="AC17" s="36" t="n"/>
    </row>
    <row r="18" hidden="1" ht="15.6" customHeight="1">
      <c r="C18" s="77" t="n"/>
      <c r="D18" s="80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8" t="n"/>
    </row>
    <row r="19" hidden="1">
      <c r="C19" s="77" t="n"/>
      <c r="D19" s="313" t="inlineStr">
        <is>
          <t>Esegui le sospensioni senza arrivare mai allo sfinimento (tranne nell'AMRAP), nel caso siano facili aumenta la zavorra</t>
        </is>
      </c>
      <c r="X19" s="39" t="n"/>
      <c r="Y19" s="39" t="n"/>
      <c r="Z19" s="39" t="n"/>
      <c r="AA19" s="39" t="n"/>
      <c r="AB19" s="39" t="n"/>
      <c r="AC19" s="40" t="n"/>
    </row>
    <row r="20" hidden="1" ht="14.45" customHeight="1">
      <c r="C20" s="77" t="n"/>
      <c r="D20" s="313" t="inlineStr">
        <is>
          <t>Esegui l'AMRAP entrambi i giorni di allenamento recuperando 3' prima di farlo</t>
        </is>
      </c>
      <c r="L20" s="313" t="n"/>
      <c r="M20" s="313" t="n"/>
      <c r="N20" s="313" t="n"/>
      <c r="O20" s="313" t="n"/>
      <c r="P20" s="313" t="n"/>
      <c r="Q20" s="313" t="n"/>
      <c r="R20" s="313" t="n"/>
      <c r="S20" s="313" t="n"/>
      <c r="T20" s="313" t="n"/>
      <c r="U20" s="313" t="n"/>
      <c r="V20" s="313" t="n"/>
      <c r="W20" s="313" t="n"/>
      <c r="X20" s="39" t="n"/>
      <c r="Y20" s="39" t="n"/>
      <c r="Z20" s="39" t="n"/>
      <c r="AA20" s="39" t="n"/>
      <c r="AB20" s="39" t="n"/>
      <c r="AC20" s="40" t="n"/>
    </row>
    <row r="21" hidden="1" ht="15" customHeight="1" thickBot="1">
      <c r="C21" s="81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312" t="n">
        <v>45593</v>
      </c>
      <c r="Z21" s="9" t="n"/>
      <c r="AA21" s="9" t="n"/>
      <c r="AB21" s="9" t="n"/>
      <c r="AC21" s="364" t="n"/>
    </row>
    <row r="22" hidden="1" ht="15" customHeight="1" thickTop="1">
      <c r="C22" s="12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12" t="n"/>
      <c r="X22" s="12" t="n"/>
      <c r="Y22" s="12" t="n"/>
      <c r="Z22" s="12" t="n"/>
      <c r="AA22" s="12" t="n"/>
      <c r="AB22" s="12" t="n"/>
      <c r="AC22" s="12" t="n"/>
    </row>
    <row r="23" hidden="1">
      <c r="C23" s="12" t="n"/>
      <c r="D23" s="1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12" t="n"/>
      <c r="X23" s="12" t="n"/>
      <c r="Y23" s="12" t="n"/>
      <c r="Z23" s="12" t="n"/>
      <c r="AA23" s="12" t="n"/>
      <c r="AB23" s="12" t="n"/>
      <c r="AC23" s="12" t="n"/>
    </row>
    <row r="24" hidden="1" ht="15.6" customHeight="1">
      <c r="C24" s="310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</row>
    <row r="25" hidden="1" ht="15.6" customHeight="1" thickBot="1">
      <c r="C25" s="24" t="inlineStr">
        <is>
          <t>WEEK 5-8</t>
        </is>
      </c>
      <c r="D25" s="80" t="n"/>
      <c r="E25" s="12" t="n"/>
      <c r="F25" s="12" t="n"/>
      <c r="G25" s="26" t="n"/>
      <c r="H25" s="26" t="n"/>
      <c r="I25" s="124" t="n"/>
      <c r="J25" s="124" t="n"/>
      <c r="K25" s="12" t="n"/>
      <c r="L25" s="302">
        <f>$L$3</f>
        <v/>
      </c>
      <c r="M25" s="9" t="n"/>
      <c r="N25" s="27" t="n"/>
      <c r="O25" s="27" t="n"/>
      <c r="P25" s="27" t="n"/>
      <c r="Q25" s="27" t="n"/>
      <c r="R25" s="12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335">
        <f>$AC$3</f>
        <v/>
      </c>
    </row>
    <row r="26" hidden="1" ht="40.9" customHeight="1" thickBot="1" thickTop="1">
      <c r="C26" s="303" t="n"/>
      <c r="D26" s="357" t="n"/>
      <c r="E26" s="357" t="n"/>
      <c r="F26" s="357" t="n"/>
      <c r="G26" s="357" t="n"/>
      <c r="H26" s="357" t="n"/>
      <c r="I26" s="357" t="n"/>
      <c r="J26" s="357" t="n"/>
      <c r="K26" s="357" t="n"/>
      <c r="L26" s="357" t="n"/>
      <c r="M26" s="357" t="n"/>
      <c r="N26" s="357" t="n"/>
      <c r="O26" s="357" t="n"/>
      <c r="P26" s="357" t="n"/>
      <c r="Q26" s="357" t="n"/>
      <c r="R26" s="357" t="n"/>
      <c r="S26" s="357" t="n"/>
      <c r="T26" s="357" t="n"/>
      <c r="U26" s="357" t="n"/>
      <c r="V26" s="357" t="n"/>
      <c r="W26" s="357" t="n"/>
      <c r="X26" s="357" t="n"/>
      <c r="Y26" s="357" t="n"/>
      <c r="Z26" s="324">
        <f>$AC$4</f>
        <v/>
      </c>
      <c r="AA26" s="357" t="n"/>
      <c r="AB26" s="357" t="n"/>
      <c r="AC26" s="359" t="n"/>
    </row>
    <row r="27" hidden="1" ht="15.6" customHeight="1" thickBot="1" thickTop="1">
      <c r="C27" s="358" t="inlineStr">
        <is>
          <t>2024_11_SOSPENSIONI</t>
        </is>
      </c>
      <c r="D27" s="357" t="n"/>
      <c r="E27" s="357" t="n"/>
      <c r="F27" s="357" t="n"/>
      <c r="G27" s="357" t="n"/>
      <c r="H27" s="357" t="n"/>
      <c r="I27" s="357" t="n"/>
      <c r="J27" s="357" t="n"/>
      <c r="K27" s="357" t="n"/>
      <c r="L27" s="357" t="n"/>
      <c r="M27" s="357" t="n"/>
      <c r="N27" s="357" t="n"/>
      <c r="O27" s="357" t="n"/>
      <c r="P27" s="357" t="n"/>
      <c r="Q27" s="357" t="n"/>
      <c r="R27" s="357" t="n"/>
      <c r="S27" s="357" t="n"/>
      <c r="T27" s="357" t="n"/>
      <c r="U27" s="357" t="n"/>
      <c r="V27" s="357" t="n"/>
      <c r="W27" s="357" t="n"/>
      <c r="X27" s="357" t="n"/>
      <c r="Y27" s="357" t="n"/>
      <c r="Z27" s="357" t="n"/>
      <c r="AA27" s="357" t="n"/>
      <c r="AB27" s="357" t="n"/>
      <c r="AC27" s="359" t="n"/>
    </row>
    <row r="28" hidden="1" ht="15" customHeight="1" thickTop="1">
      <c r="C28" s="74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6" t="n"/>
    </row>
    <row r="29" hidden="1" ht="15.6" customHeight="1">
      <c r="C29" s="77" t="n"/>
      <c r="D29" s="80" t="inlineStr">
        <is>
          <t>FORZA</t>
        </is>
      </c>
      <c r="E29" s="308" t="inlineStr">
        <is>
          <t>Wk 5</t>
        </is>
      </c>
      <c r="H29" s="360" t="n"/>
      <c r="I29" s="308" t="n"/>
      <c r="J29" s="308" t="n"/>
      <c r="K29" s="308" t="inlineStr">
        <is>
          <t>Wk 6</t>
        </is>
      </c>
      <c r="N29" s="360" t="n"/>
      <c r="O29" s="308" t="n"/>
      <c r="P29" s="308" t="n"/>
      <c r="Q29" s="308" t="inlineStr">
        <is>
          <t>Wk 7</t>
        </is>
      </c>
      <c r="T29" s="360" t="n"/>
      <c r="U29" s="308" t="n"/>
      <c r="V29" s="308" t="n"/>
      <c r="W29" s="308" t="inlineStr">
        <is>
          <t>Wk 8</t>
        </is>
      </c>
      <c r="Z29" s="360" t="n"/>
      <c r="AA29" s="80" t="n"/>
      <c r="AB29" s="80" t="n"/>
      <c r="AC29" s="47" t="n"/>
    </row>
    <row r="30" hidden="1" ht="15.6" customHeight="1">
      <c r="C30" s="77" t="n"/>
      <c r="D30" s="73" t="inlineStr">
        <is>
          <t>Esercizio</t>
        </is>
      </c>
      <c r="E30" s="94" t="inlineStr">
        <is>
          <t>TEMPO</t>
        </is>
      </c>
      <c r="F30" s="33" t="inlineStr">
        <is>
          <t>REP</t>
        </is>
      </c>
      <c r="G30" s="94" t="inlineStr">
        <is>
          <t>SET</t>
        </is>
      </c>
      <c r="H30" s="72" t="inlineStr">
        <is>
          <t>CARICO</t>
        </is>
      </c>
      <c r="I30" s="123" t="inlineStr">
        <is>
          <t>Rest</t>
        </is>
      </c>
      <c r="J30" s="123" t="inlineStr">
        <is>
          <t>TUT es</t>
        </is>
      </c>
      <c r="K30" s="94" t="inlineStr">
        <is>
          <t>TEMPO</t>
        </is>
      </c>
      <c r="L30" s="33" t="inlineStr">
        <is>
          <t>REP</t>
        </is>
      </c>
      <c r="M30" s="94" t="inlineStr">
        <is>
          <t>SET</t>
        </is>
      </c>
      <c r="N30" s="72" t="inlineStr">
        <is>
          <t>CARICO</t>
        </is>
      </c>
      <c r="O30" s="123" t="inlineStr">
        <is>
          <t>Rest</t>
        </is>
      </c>
      <c r="P30" s="123" t="inlineStr">
        <is>
          <t>TUT es</t>
        </is>
      </c>
      <c r="Q30" s="94" t="inlineStr">
        <is>
          <t>TEMPO</t>
        </is>
      </c>
      <c r="R30" s="33" t="inlineStr">
        <is>
          <t>REP</t>
        </is>
      </c>
      <c r="S30" s="94" t="inlineStr">
        <is>
          <t>SET</t>
        </is>
      </c>
      <c r="T30" s="72" t="inlineStr">
        <is>
          <t>CARICO</t>
        </is>
      </c>
      <c r="U30" s="123" t="inlineStr">
        <is>
          <t>Rest</t>
        </is>
      </c>
      <c r="V30" s="123" t="inlineStr">
        <is>
          <t>TUT es</t>
        </is>
      </c>
      <c r="W30" s="94" t="inlineStr">
        <is>
          <t>TEMPO</t>
        </is>
      </c>
      <c r="X30" s="33" t="inlineStr">
        <is>
          <t>REP</t>
        </is>
      </c>
      <c r="Y30" s="94" t="inlineStr">
        <is>
          <t>SET</t>
        </is>
      </c>
      <c r="Z30" s="72" t="inlineStr">
        <is>
          <t>CARICO</t>
        </is>
      </c>
      <c r="AA30" s="123" t="inlineStr">
        <is>
          <t>Rest</t>
        </is>
      </c>
      <c r="AB30" s="123" t="inlineStr">
        <is>
          <t>TUT es</t>
        </is>
      </c>
      <c r="AC30" s="32" t="n"/>
    </row>
    <row r="31" hidden="1" ht="16.15" customHeight="1">
      <c r="C31" s="77" t="n"/>
      <c r="D31" s="78" t="inlineStr">
        <is>
          <t>Stacchi da terra 20mm</t>
        </is>
      </c>
      <c r="E31" s="93" t="inlineStr">
        <is>
          <t>X</t>
        </is>
      </c>
      <c r="F31" s="34" t="n">
        <v>5</v>
      </c>
      <c r="G31" s="93" t="n">
        <v>5</v>
      </c>
      <c r="H31" s="240" t="n">
        <v>35</v>
      </c>
      <c r="I31" s="327" t="n"/>
      <c r="J31" s="327">
        <f>(E31*F31)+(F31*I31)</f>
        <v/>
      </c>
      <c r="K31" s="93" t="inlineStr">
        <is>
          <t>X</t>
        </is>
      </c>
      <c r="L31" s="34" t="n">
        <v>5</v>
      </c>
      <c r="M31" s="93" t="n">
        <v>6</v>
      </c>
      <c r="N31" s="240" t="n">
        <v>34</v>
      </c>
      <c r="O31">
        <f>$I31</f>
        <v/>
      </c>
      <c r="P31" s="327">
        <f>(K31*L31)+(L31*O31)</f>
        <v/>
      </c>
      <c r="Q31" s="93" t="inlineStr">
        <is>
          <t>X</t>
        </is>
      </c>
      <c r="R31" s="34" t="n">
        <v>5</v>
      </c>
      <c r="S31" s="93" t="n">
        <v>7</v>
      </c>
      <c r="T31" s="240" t="n">
        <v>33</v>
      </c>
      <c r="U31">
        <f>$I31</f>
        <v/>
      </c>
      <c r="V31" s="327">
        <f>(Q31*R31)+(R31*U31)</f>
        <v/>
      </c>
      <c r="W31" s="93" t="inlineStr">
        <is>
          <t>X</t>
        </is>
      </c>
      <c r="X31" s="34" t="inlineStr">
        <is>
          <t>AMRAP</t>
        </is>
      </c>
      <c r="Y31" s="93" t="n">
        <v>1</v>
      </c>
      <c r="Z31" s="240" t="n">
        <v>35</v>
      </c>
      <c r="AA31">
        <f>$I31</f>
        <v/>
      </c>
      <c r="AB31" s="327">
        <f>(W31*X31)+(X31*AA31)</f>
        <v/>
      </c>
      <c r="AC31" s="228" t="n"/>
      <c r="AD31" s="24" t="n"/>
      <c r="AE31" s="24" t="n"/>
      <c r="AF31" s="24" t="n"/>
    </row>
    <row r="32" hidden="1" ht="15.6" customHeight="1">
      <c r="C32" s="77" t="n"/>
      <c r="D32" s="125" t="inlineStr">
        <is>
          <t>Sospensioni svase</t>
        </is>
      </c>
      <c r="E32" s="126" t="n">
        <v>6</v>
      </c>
      <c r="F32" s="126" t="n">
        <v>2</v>
      </c>
      <c r="G32" s="126" t="n">
        <v>3</v>
      </c>
      <c r="H32" s="129" t="inlineStr">
        <is>
          <t>RPE7</t>
        </is>
      </c>
      <c r="I32" s="321" t="n"/>
      <c r="J32" s="321">
        <f>(E32*F32)+(F32*I32)</f>
        <v/>
      </c>
      <c r="K32" s="126" t="n">
        <v>6</v>
      </c>
      <c r="L32" s="126" t="n">
        <v>2</v>
      </c>
      <c r="M32" s="126" t="n">
        <v>4</v>
      </c>
      <c r="N32" s="129" t="inlineStr">
        <is>
          <t>RPE8</t>
        </is>
      </c>
      <c r="O32" s="128">
        <f>$I32</f>
        <v/>
      </c>
      <c r="P32" s="321">
        <f>(K32*L32)+(L32*O32)</f>
        <v/>
      </c>
      <c r="Q32" s="126" t="n">
        <v>6</v>
      </c>
      <c r="R32" s="126" t="n">
        <v>2</v>
      </c>
      <c r="S32" s="126" t="n">
        <v>4</v>
      </c>
      <c r="T32" s="129" t="inlineStr">
        <is>
          <t>RPE8,5</t>
        </is>
      </c>
      <c r="U32" s="128">
        <f>$I32</f>
        <v/>
      </c>
      <c r="V32" s="321">
        <f>(Q32*R32)+(R32*U32)</f>
        <v/>
      </c>
      <c r="W32" s="126" t="n">
        <v>5</v>
      </c>
      <c r="X32" s="126" t="n">
        <v>2</v>
      </c>
      <c r="Y32" s="126" t="n">
        <v>2</v>
      </c>
      <c r="Z32" s="129" t="inlineStr">
        <is>
          <t>Wk6</t>
        </is>
      </c>
      <c r="AA32" s="128">
        <f>$I32</f>
        <v/>
      </c>
      <c r="AB32" s="321">
        <f>(W32*X32)+(X32*AA32)</f>
        <v/>
      </c>
      <c r="AC32" s="32" t="n"/>
      <c r="AD32" s="7" t="n"/>
    </row>
    <row r="33" hidden="1" ht="15.6" customHeight="1">
      <c r="C33" s="77" t="n"/>
      <c r="D33" s="78" t="inlineStr">
        <is>
          <t>Stacchi pinze</t>
        </is>
      </c>
      <c r="E33" s="327" t="inlineStr">
        <is>
          <t>X</t>
        </is>
      </c>
      <c r="F33" s="93" t="n">
        <v>8</v>
      </c>
      <c r="G33" s="93" t="n">
        <v>3</v>
      </c>
      <c r="H33" s="127" t="n"/>
      <c r="I33" s="327" t="n"/>
      <c r="J33" s="327">
        <f>(E33*F33)+(F33*I33)</f>
        <v/>
      </c>
      <c r="K33" s="327" t="inlineStr">
        <is>
          <t>X</t>
        </is>
      </c>
      <c r="L33" s="93" t="n">
        <v>7</v>
      </c>
      <c r="M33" s="93" t="n">
        <v>3</v>
      </c>
      <c r="N33" s="127" t="n"/>
      <c r="O33">
        <f>$I33</f>
        <v/>
      </c>
      <c r="P33" s="327">
        <f>(K33*L33)+(L33*O33)</f>
        <v/>
      </c>
      <c r="Q33" s="327" t="inlineStr">
        <is>
          <t>X</t>
        </is>
      </c>
      <c r="R33" s="93" t="n">
        <v>7</v>
      </c>
      <c r="S33" s="93" t="n">
        <v>2</v>
      </c>
      <c r="T33" s="127" t="n"/>
      <c r="U33">
        <f>$I33</f>
        <v/>
      </c>
      <c r="V33" s="327">
        <f>(Q33*R33)+(R33*U33)</f>
        <v/>
      </c>
      <c r="W33" s="327" t="inlineStr">
        <is>
          <t>X</t>
        </is>
      </c>
      <c r="X33" s="93" t="n">
        <v>6</v>
      </c>
      <c r="Y33" s="93" t="n">
        <v>2</v>
      </c>
      <c r="Z33" s="127" t="n"/>
      <c r="AA33">
        <f>$I33</f>
        <v/>
      </c>
      <c r="AB33" s="327">
        <f>(W33*X33)+(X33*AA33)</f>
        <v/>
      </c>
      <c r="AC33" s="32" t="n"/>
    </row>
    <row r="34" hidden="1" ht="15.6" customHeight="1">
      <c r="C34" s="77" t="n"/>
      <c r="D34" s="125" t="inlineStr">
        <is>
          <t>Sospensioni micros</t>
        </is>
      </c>
      <c r="E34" s="126" t="n">
        <v>8</v>
      </c>
      <c r="F34" s="126" t="n">
        <v>2</v>
      </c>
      <c r="G34" s="126" t="n">
        <v>3</v>
      </c>
      <c r="H34" s="129" t="n"/>
      <c r="I34" s="321" t="n"/>
      <c r="J34" s="321">
        <f>(E34*F34)+(F34*I34)</f>
        <v/>
      </c>
      <c r="K34" s="126" t="n">
        <v>8</v>
      </c>
      <c r="L34" s="126" t="n">
        <v>2</v>
      </c>
      <c r="M34" s="126" t="n">
        <v>3</v>
      </c>
      <c r="N34" s="129" t="n"/>
      <c r="O34" s="128">
        <f>$I34</f>
        <v/>
      </c>
      <c r="P34" s="321">
        <f>(K34*L34)+(L34*O34)</f>
        <v/>
      </c>
      <c r="Q34" s="126" t="n">
        <v>7</v>
      </c>
      <c r="R34" s="126" t="n">
        <v>3</v>
      </c>
      <c r="S34" s="126" t="n">
        <v>2</v>
      </c>
      <c r="T34" s="129" t="n"/>
      <c r="U34" s="128">
        <f>$I34</f>
        <v/>
      </c>
      <c r="V34" s="321">
        <f>(Q34*R34)+(R34*U34)</f>
        <v/>
      </c>
      <c r="W34" s="126" t="n">
        <v>8</v>
      </c>
      <c r="X34" s="126" t="n">
        <v>2</v>
      </c>
      <c r="Y34" s="126" t="n">
        <v>2</v>
      </c>
      <c r="Z34" s="129" t="n"/>
      <c r="AB34" s="327" t="n"/>
      <c r="AC34" s="32" t="n"/>
    </row>
    <row r="35" hidden="1" ht="15.6" customHeight="1">
      <c r="C35" s="77" t="n"/>
      <c r="D35" s="78" t="inlineStr">
        <is>
          <t>Sospensioni due mani 20mm</t>
        </is>
      </c>
      <c r="E35" s="238" t="inlineStr">
        <is>
          <t>AMRAP</t>
        </is>
      </c>
      <c r="F35" s="93" t="n">
        <v>1</v>
      </c>
      <c r="G35" s="93" t="n">
        <v>1</v>
      </c>
      <c r="H35" s="239" t="n">
        <v>25</v>
      </c>
      <c r="I35" s="327" t="n"/>
      <c r="J35" s="327" t="n"/>
      <c r="K35" s="238" t="inlineStr">
        <is>
          <t>AMRAP</t>
        </is>
      </c>
      <c r="L35" s="93" t="n">
        <v>1</v>
      </c>
      <c r="M35" s="93" t="n">
        <v>1</v>
      </c>
      <c r="N35" s="239" t="n">
        <v>25</v>
      </c>
      <c r="O35" s="327" t="n"/>
      <c r="P35" s="327" t="n"/>
      <c r="Q35" s="238" t="inlineStr">
        <is>
          <t>AMRAP</t>
        </is>
      </c>
      <c r="R35" s="93" t="n">
        <v>1</v>
      </c>
      <c r="S35" s="93" t="n">
        <v>1</v>
      </c>
      <c r="T35" s="239" t="n">
        <v>25</v>
      </c>
      <c r="U35" s="327" t="n"/>
      <c r="V35" s="327" t="n"/>
      <c r="W35" s="238" t="inlineStr">
        <is>
          <t>AMRAP</t>
        </is>
      </c>
      <c r="X35" s="93" t="n">
        <v>1</v>
      </c>
      <c r="Y35" s="93" t="n">
        <v>1</v>
      </c>
      <c r="Z35" s="239" t="n">
        <v>25</v>
      </c>
      <c r="AA35" s="321" t="n"/>
      <c r="AB35" s="321" t="n"/>
      <c r="AC35" s="32" t="n"/>
    </row>
    <row r="36" hidden="1" ht="15.6" customHeight="1">
      <c r="C36" s="77" t="n"/>
      <c r="D36" s="237" t="inlineStr">
        <is>
          <t>Volume totale:</t>
        </is>
      </c>
      <c r="E36" s="322">
        <f t="array" ref="E36">SUMPRODUCT((E31:E33*F31:F33)*G31:G33)</f>
        <v/>
      </c>
      <c r="H36" s="361" t="n"/>
      <c r="I36" s="321" t="n"/>
      <c r="J36" s="321" t="n"/>
      <c r="K36" s="322">
        <f t="array" ref="K36">SUMPRODUCT((K31:K33*L31:L33)*M31:M33)</f>
        <v/>
      </c>
      <c r="N36" s="361" t="n"/>
      <c r="O36" s="321" t="n"/>
      <c r="P36" s="321" t="n"/>
      <c r="Q36" s="322">
        <f t="array" ref="Q36">SUMPRODUCT((Q31:Q33*R31:R33)*S31:S33)</f>
        <v/>
      </c>
      <c r="T36" s="361" t="n"/>
      <c r="U36" s="321" t="n"/>
      <c r="V36" s="321" t="n"/>
      <c r="W36" s="322">
        <f t="array" ref="W36">SUMPRODUCT((W31:W33*X31:X33)*Y31:Y33)</f>
        <v/>
      </c>
      <c r="Z36" s="361" t="n"/>
      <c r="AA36" s="327" t="n"/>
      <c r="AB36" s="327" t="n"/>
      <c r="AC36" s="32" t="n"/>
    </row>
    <row r="37" hidden="1" ht="15.6" customHeight="1">
      <c r="C37" s="77" t="n"/>
      <c r="D37" s="79" t="n"/>
      <c r="E37" s="80" t="n"/>
      <c r="F37" s="327" t="n"/>
      <c r="G37" s="327" t="n"/>
      <c r="H37" s="328" t="n"/>
      <c r="I37" s="327" t="n"/>
      <c r="J37" s="327" t="n"/>
      <c r="K37" s="327" t="n"/>
      <c r="L37" s="327" t="n"/>
      <c r="M37" s="327" t="n"/>
      <c r="N37" s="328" t="n"/>
      <c r="O37" s="327" t="n"/>
      <c r="P37" s="327" t="n"/>
      <c r="Q37" s="327" t="n"/>
      <c r="R37" s="327" t="n"/>
      <c r="S37" s="327" t="n"/>
      <c r="T37" s="328" t="n"/>
      <c r="U37" s="327" t="n"/>
      <c r="V37" s="327" t="n"/>
      <c r="W37" s="80" t="n"/>
      <c r="X37" s="327" t="n"/>
      <c r="Y37" s="327" t="n"/>
      <c r="Z37" s="328" t="n"/>
      <c r="AA37" s="327" t="n"/>
      <c r="AB37" s="327" t="n"/>
      <c r="AC37" s="47" t="n"/>
    </row>
    <row r="38" hidden="1" ht="15.6" customHeight="1">
      <c r="C38" s="77" t="n"/>
      <c r="D38" s="79" t="inlineStr">
        <is>
          <t xml:space="preserve">Recupero:  </t>
        </is>
      </c>
      <c r="E38" s="318" t="inlineStr">
        <is>
          <t xml:space="preserve"> Tra le ripetizioni 12"							</t>
        </is>
      </c>
      <c r="H38" s="361" t="n"/>
      <c r="I38" s="314" t="n"/>
      <c r="J38" s="314" t="n"/>
      <c r="K38" s="318" t="inlineStr">
        <is>
          <t xml:space="preserve"> Tra le ripetizioni 12"							</t>
        </is>
      </c>
      <c r="N38" s="361" t="n"/>
      <c r="O38" s="362" t="inlineStr">
        <is>
          <t xml:space="preserve"> Tra le ripetizioni 12"							</t>
        </is>
      </c>
      <c r="V38" s="361" t="n"/>
      <c r="W38" s="318" t="inlineStr">
        <is>
          <t xml:space="preserve"> Tra le ripetizioni 12"							</t>
        </is>
      </c>
      <c r="Z38" s="361" t="n"/>
      <c r="AA38" s="317" t="n"/>
      <c r="AB38" s="317" t="n"/>
      <c r="AC38" s="36" t="n"/>
    </row>
    <row r="39" hidden="1" ht="15.6" customHeight="1">
      <c r="C39" s="77" t="n"/>
      <c r="D39" s="79" t="n"/>
      <c r="E39" s="315" t="inlineStr">
        <is>
          <t xml:space="preserve"> Tra le serie 2'++</t>
        </is>
      </c>
      <c r="H39" s="361" t="n"/>
      <c r="I39" s="314" t="n"/>
      <c r="J39" s="314" t="n"/>
      <c r="K39" s="315" t="inlineStr">
        <is>
          <t xml:space="preserve"> Tra le serie 2'++</t>
        </is>
      </c>
      <c r="N39" s="361" t="n"/>
      <c r="O39" s="363" t="inlineStr">
        <is>
          <t xml:space="preserve"> Tra le serie 2'++</t>
        </is>
      </c>
      <c r="V39" s="361" t="n"/>
      <c r="W39" s="315" t="inlineStr">
        <is>
          <t xml:space="preserve"> Tra le serie 2'++</t>
        </is>
      </c>
      <c r="Z39" s="361" t="n"/>
      <c r="AA39" s="314" t="n"/>
      <c r="AB39" s="314" t="n"/>
      <c r="AC39" s="36" t="n"/>
    </row>
    <row r="40" hidden="1" ht="15.6" customHeight="1">
      <c r="C40" s="77" t="n"/>
      <c r="D40" s="79" t="n"/>
      <c r="E40" s="314" t="n"/>
      <c r="F40" s="314" t="n"/>
      <c r="G40" s="314" t="n"/>
      <c r="H40" s="314" t="n"/>
      <c r="I40" s="314" t="n"/>
      <c r="J40" s="314" t="n"/>
      <c r="K40" s="314" t="n"/>
      <c r="L40" s="314" t="n"/>
      <c r="M40" s="314" t="n"/>
      <c r="N40" s="314" t="n"/>
      <c r="O40" s="314" t="n"/>
      <c r="P40" s="314" t="n"/>
      <c r="Q40" s="314" t="n"/>
      <c r="R40" s="314" t="n"/>
      <c r="S40" s="314" t="n"/>
      <c r="T40" s="314" t="n"/>
      <c r="U40" s="314" t="n"/>
      <c r="V40" s="314" t="n"/>
      <c r="W40" s="314" t="n"/>
      <c r="X40" s="314" t="n"/>
      <c r="Y40" s="314" t="n"/>
      <c r="Z40" s="314" t="n"/>
      <c r="AA40" s="314" t="n"/>
      <c r="AB40" s="314" t="n"/>
      <c r="AC40" s="36" t="n"/>
    </row>
    <row r="41" hidden="1" ht="15.6" customHeight="1">
      <c r="C41" s="77" t="n"/>
      <c r="D41" s="79" t="n"/>
      <c r="E41" s="314" t="n"/>
      <c r="F41" s="314" t="n"/>
      <c r="G41" s="314" t="n"/>
      <c r="H41" s="314" t="n"/>
      <c r="I41" s="314" t="n"/>
      <c r="J41" s="314" t="n"/>
      <c r="K41" s="314" t="n"/>
      <c r="L41" s="314" t="n"/>
      <c r="M41" s="314" t="n"/>
      <c r="N41" s="314" t="n"/>
      <c r="O41" s="314" t="n"/>
      <c r="P41" s="314" t="n"/>
      <c r="Q41" s="314" t="n"/>
      <c r="R41" s="314" t="n"/>
      <c r="S41" s="314" t="n"/>
      <c r="T41" s="314" t="n"/>
      <c r="U41" s="314" t="n"/>
      <c r="V41" s="314" t="n"/>
      <c r="W41" s="314" t="n"/>
      <c r="X41" s="314" t="n"/>
      <c r="Y41" s="314" t="n"/>
      <c r="Z41" s="314" t="n"/>
      <c r="AA41" s="314" t="n"/>
      <c r="AB41" s="314" t="n"/>
      <c r="AC41" s="36" t="n"/>
    </row>
    <row r="42" hidden="1">
      <c r="C42" s="77" t="n"/>
      <c r="D42" s="313" t="inlineStr">
        <is>
          <t>Esegui le sospensioni senza arrivare mai allo sfinimento (tranne nell'AMRAP), nel caso siano facili aumenta la zavorra</t>
        </is>
      </c>
      <c r="X42" s="39" t="n"/>
      <c r="Y42" s="39" t="n"/>
      <c r="Z42" s="39" t="n"/>
      <c r="AA42" s="39" t="n"/>
      <c r="AB42" s="39" t="n"/>
      <c r="AC42" s="40" t="n"/>
    </row>
    <row r="43" hidden="1" ht="14.45" customHeight="1">
      <c r="C43" s="77" t="n"/>
      <c r="D43" s="313" t="inlineStr">
        <is>
          <t>Esegui l'AMRAP entrambi i giorni di allenamento recuperando 3' prima di farlo</t>
        </is>
      </c>
      <c r="R43" s="313" t="n"/>
      <c r="S43" s="313" t="n"/>
      <c r="T43" s="313" t="n"/>
      <c r="U43" s="313" t="n"/>
      <c r="V43" s="313" t="n"/>
      <c r="W43" s="313" t="n"/>
      <c r="X43" s="39" t="n"/>
      <c r="Y43" s="39" t="n"/>
      <c r="Z43" s="39" t="n"/>
      <c r="AA43" s="39" t="n"/>
      <c r="AB43" s="39" t="n"/>
      <c r="AC43" s="40" t="n"/>
    </row>
    <row r="44" hidden="1" ht="15" customHeight="1" thickBot="1">
      <c r="C44" s="81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312">
        <f>$Y$21+28</f>
        <v/>
      </c>
      <c r="Z44" s="9" t="n"/>
      <c r="AA44" s="9" t="n"/>
      <c r="AB44" s="9" t="n"/>
      <c r="AC44" s="364" t="n"/>
    </row>
    <row r="45" hidden="1" ht="15" customHeight="1" thickTop="1">
      <c r="C45" s="310" t="n"/>
      <c r="D45" s="83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41" t="n"/>
      <c r="X45" s="41" t="n"/>
      <c r="Y45" s="41" t="n"/>
      <c r="Z45" s="41" t="n"/>
      <c r="AA45" s="41" t="n"/>
      <c r="AB45" s="41" t="n"/>
      <c r="AC45" s="41" t="n"/>
    </row>
    <row r="46">
      <c r="C46" s="310" t="n"/>
      <c r="D46" s="83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</row>
    <row r="47"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</row>
    <row r="48"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</row>
    <row r="49" ht="16.15" customHeight="1" thickBot="1">
      <c r="C49" s="24" t="inlineStr">
        <is>
          <t>WEEK 9-12</t>
        </is>
      </c>
      <c r="D49" s="80" t="n"/>
      <c r="E49" s="12" t="n"/>
      <c r="F49" s="12" t="n"/>
      <c r="G49" s="26" t="n"/>
      <c r="H49" s="26" t="n"/>
      <c r="I49" s="124" t="n"/>
      <c r="J49" s="124" t="n"/>
      <c r="K49" s="12" t="n"/>
      <c r="L49" s="302" t="inlineStr">
        <is>
          <t>INVERNO 2025</t>
        </is>
      </c>
      <c r="M49" s="9" t="n"/>
      <c r="N49" s="27" t="n"/>
      <c r="O49" s="27" t="n"/>
      <c r="P49" s="27" t="n"/>
      <c r="Q49" s="27" t="n"/>
      <c r="R49" s="12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335">
        <f>$AC$3</f>
        <v/>
      </c>
    </row>
    <row r="50" ht="40.15" customHeight="1" thickBot="1" thickTop="1">
      <c r="C50" s="303" t="n"/>
      <c r="D50" s="357" t="n"/>
      <c r="E50" s="357" t="n"/>
      <c r="F50" s="357" t="n"/>
      <c r="G50" s="357" t="n"/>
      <c r="H50" s="357" t="n"/>
      <c r="I50" s="357" t="n"/>
      <c r="J50" s="357" t="n"/>
      <c r="K50" s="357" t="n"/>
      <c r="L50" s="357" t="n"/>
      <c r="M50" s="357" t="n"/>
      <c r="N50" s="357" t="n"/>
      <c r="O50" s="357" t="n"/>
      <c r="P50" s="357" t="n"/>
      <c r="Q50" s="357" t="n"/>
      <c r="R50" s="357" t="n"/>
      <c r="S50" s="357" t="n"/>
      <c r="T50" s="357" t="n"/>
      <c r="U50" s="357" t="n"/>
      <c r="V50" s="357" t="n"/>
      <c r="W50" s="357" t="n"/>
      <c r="X50" s="357" t="n"/>
      <c r="Y50" s="357" t="n"/>
      <c r="Z50" s="324">
        <f>$AC$4</f>
        <v/>
      </c>
      <c r="AA50" s="357" t="n"/>
      <c r="AB50" s="357" t="n"/>
      <c r="AC50" s="359" t="n"/>
    </row>
    <row r="51" ht="18" customHeight="1" thickBot="1" thickTop="1">
      <c r="C51" s="358" t="inlineStr">
        <is>
          <t>2025_01_SOSPENSIONI</t>
        </is>
      </c>
      <c r="D51" s="357" t="n"/>
      <c r="E51" s="357" t="n"/>
      <c r="F51" s="357" t="n"/>
      <c r="G51" s="357" t="n"/>
      <c r="H51" s="357" t="n"/>
      <c r="I51" s="357" t="n"/>
      <c r="J51" s="357" t="n"/>
      <c r="K51" s="357" t="n"/>
      <c r="L51" s="357" t="n"/>
      <c r="M51" s="357" t="n"/>
      <c r="N51" s="357" t="n"/>
      <c r="O51" s="357" t="n"/>
      <c r="P51" s="357" t="n"/>
      <c r="Q51" s="357" t="n"/>
      <c r="R51" s="357" t="n"/>
      <c r="S51" s="357" t="n"/>
      <c r="T51" s="357" t="n"/>
      <c r="U51" s="357" t="n"/>
      <c r="V51" s="357" t="n"/>
      <c r="W51" s="357" t="n"/>
      <c r="X51" s="357" t="n"/>
      <c r="Y51" s="357" t="n"/>
      <c r="Z51" s="357" t="n"/>
      <c r="AA51" s="357" t="n"/>
      <c r="AB51" s="357" t="n"/>
      <c r="AC51" s="359" t="n"/>
    </row>
    <row r="52" ht="15" customHeight="1" thickTop="1">
      <c r="C52" s="74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6" t="n"/>
    </row>
    <row r="53" ht="15.6" customHeight="1">
      <c r="C53" s="77" t="n"/>
      <c r="D53" s="80" t="inlineStr">
        <is>
          <t>FORZA</t>
        </is>
      </c>
      <c r="E53" s="308" t="inlineStr">
        <is>
          <t>Wk 9</t>
        </is>
      </c>
      <c r="H53" s="360" t="n"/>
      <c r="I53" s="325" t="n"/>
      <c r="J53" s="325" t="n"/>
      <c r="K53" s="309" t="inlineStr">
        <is>
          <t>Wk 10</t>
        </is>
      </c>
      <c r="N53" s="360" t="n"/>
      <c r="O53" s="325" t="n"/>
      <c r="P53" s="325" t="n"/>
      <c r="Q53" s="309" t="inlineStr">
        <is>
          <t>Wk 11</t>
        </is>
      </c>
      <c r="T53" s="360" t="n"/>
      <c r="U53" s="325" t="n"/>
      <c r="V53" s="325" t="n"/>
      <c r="W53" s="309" t="inlineStr">
        <is>
          <t>Wk 12</t>
        </is>
      </c>
      <c r="Z53" s="360" t="n"/>
      <c r="AA53" s="325" t="n"/>
      <c r="AB53" s="325" t="n"/>
      <c r="AC53" s="47" t="n"/>
    </row>
    <row r="54" ht="15.6" customHeight="1">
      <c r="C54" s="77" t="n"/>
      <c r="D54" s="73" t="inlineStr">
        <is>
          <t>Esercizio</t>
        </is>
      </c>
      <c r="E54" s="94" t="inlineStr">
        <is>
          <t>TEMPO</t>
        </is>
      </c>
      <c r="F54" s="33" t="inlineStr">
        <is>
          <t>REP</t>
        </is>
      </c>
      <c r="G54" s="94" t="inlineStr">
        <is>
          <t>SET</t>
        </is>
      </c>
      <c r="H54" s="72" t="inlineStr">
        <is>
          <t>CARICO</t>
        </is>
      </c>
      <c r="I54" s="123" t="inlineStr">
        <is>
          <t>Rest</t>
        </is>
      </c>
      <c r="J54" s="123" t="inlineStr">
        <is>
          <t>TUT es</t>
        </is>
      </c>
      <c r="K54" s="94" t="inlineStr">
        <is>
          <t>TEMPO</t>
        </is>
      </c>
      <c r="L54" s="33" t="inlineStr">
        <is>
          <t>REP</t>
        </is>
      </c>
      <c r="M54" s="94" t="inlineStr">
        <is>
          <t>SET</t>
        </is>
      </c>
      <c r="N54" s="72" t="inlineStr">
        <is>
          <t>CARICO</t>
        </is>
      </c>
      <c r="O54" s="123" t="inlineStr">
        <is>
          <t>Rest</t>
        </is>
      </c>
      <c r="P54" s="123" t="inlineStr">
        <is>
          <t>TUT es</t>
        </is>
      </c>
      <c r="Q54" s="94" t="inlineStr">
        <is>
          <t>TEMPO</t>
        </is>
      </c>
      <c r="R54" s="33" t="inlineStr">
        <is>
          <t>REP</t>
        </is>
      </c>
      <c r="S54" s="94" t="inlineStr">
        <is>
          <t>SET</t>
        </is>
      </c>
      <c r="T54" s="72" t="inlineStr">
        <is>
          <t>CARICO</t>
        </is>
      </c>
      <c r="U54" s="123" t="inlineStr">
        <is>
          <t>Rest</t>
        </is>
      </c>
      <c r="V54" s="123" t="inlineStr">
        <is>
          <t>TUT es</t>
        </is>
      </c>
      <c r="W54" s="94" t="inlineStr">
        <is>
          <t>TEMPO</t>
        </is>
      </c>
      <c r="X54" s="33" t="inlineStr">
        <is>
          <t>REP</t>
        </is>
      </c>
      <c r="Y54" s="94" t="inlineStr">
        <is>
          <t>SET</t>
        </is>
      </c>
      <c r="Z54" s="72" t="inlineStr">
        <is>
          <t>CARICO</t>
        </is>
      </c>
      <c r="AA54" s="123" t="inlineStr">
        <is>
          <t>Rest</t>
        </is>
      </c>
      <c r="AB54" s="123" t="inlineStr">
        <is>
          <t>TUT es</t>
        </is>
      </c>
      <c r="AC54" s="32" t="n"/>
    </row>
    <row r="55" ht="16.15" customHeight="1">
      <c r="C55" s="77" t="n"/>
      <c r="D55" s="78" t="inlineStr">
        <is>
          <t>Stacchi da terra 20mm</t>
        </is>
      </c>
      <c r="E55" s="93" t="inlineStr">
        <is>
          <t>X</t>
        </is>
      </c>
      <c r="F55" s="34" t="n">
        <v>3</v>
      </c>
      <c r="G55" s="93" t="n">
        <v>3</v>
      </c>
      <c r="H55" s="240" t="inlineStr">
        <is>
          <t>38-41</t>
        </is>
      </c>
      <c r="I55" s="327" t="n"/>
      <c r="J55" s="327">
        <f>(E55*F55)+(F55*I55)</f>
        <v/>
      </c>
      <c r="K55" s="93" t="inlineStr">
        <is>
          <t>X</t>
        </is>
      </c>
      <c r="L55" s="34" t="n">
        <v>3</v>
      </c>
      <c r="M55" s="93" t="n">
        <v>3</v>
      </c>
      <c r="N55" s="240" t="inlineStr">
        <is>
          <t>39-42</t>
        </is>
      </c>
      <c r="O55">
        <f>$I55</f>
        <v/>
      </c>
      <c r="P55" s="327">
        <f>(K55*L55)+(L55*O55)</f>
        <v/>
      </c>
      <c r="Q55" s="93" t="inlineStr">
        <is>
          <t>X</t>
        </is>
      </c>
      <c r="R55" s="34" t="n">
        <v>3</v>
      </c>
      <c r="S55" s="93" t="n">
        <v>3</v>
      </c>
      <c r="T55" s="240" t="inlineStr">
        <is>
          <t>41-43</t>
        </is>
      </c>
      <c r="U55">
        <f>$I55</f>
        <v/>
      </c>
      <c r="V55" s="327">
        <f>(Q55*R55)+(R55*U55)</f>
        <v/>
      </c>
      <c r="W55" s="93" t="inlineStr">
        <is>
          <t>X</t>
        </is>
      </c>
      <c r="X55" s="34" t="n">
        <v>1</v>
      </c>
      <c r="Y55" s="93" t="n">
        <v>1</v>
      </c>
      <c r="Z55" s="240" t="inlineStr">
        <is>
          <t>RPE10</t>
        </is>
      </c>
      <c r="AA55">
        <f>$I55</f>
        <v/>
      </c>
      <c r="AB55" s="327">
        <f>(W55*X55)+(X55*AA55)</f>
        <v/>
      </c>
      <c r="AC55" s="228" t="n"/>
      <c r="AD55" s="24" t="n"/>
      <c r="AE55" s="24" t="n"/>
      <c r="AF55" s="24" t="n"/>
    </row>
    <row r="56" ht="15.6" customHeight="1">
      <c r="C56" s="77" t="n"/>
      <c r="D56" s="125" t="inlineStr">
        <is>
          <t>Sospensioni svase</t>
        </is>
      </c>
      <c r="E56" s="126" t="n">
        <v>10</v>
      </c>
      <c r="F56" s="126" t="n">
        <v>2</v>
      </c>
      <c r="G56" s="126" t="n">
        <v>3</v>
      </c>
      <c r="H56" s="129" t="inlineStr">
        <is>
          <t>RPE7</t>
        </is>
      </c>
      <c r="I56" s="321" t="n"/>
      <c r="J56" s="321">
        <f>(E56*F56)+(F56*I56)</f>
        <v/>
      </c>
      <c r="K56" s="126" t="n">
        <v>10</v>
      </c>
      <c r="L56" s="126" t="n">
        <v>2</v>
      </c>
      <c r="M56" s="126" t="n">
        <v>3</v>
      </c>
      <c r="N56" s="129" t="inlineStr">
        <is>
          <t>RPE8</t>
        </is>
      </c>
      <c r="O56" s="128">
        <f>$I56</f>
        <v/>
      </c>
      <c r="P56" s="321">
        <f>(K56*L56)+(L56*O56)</f>
        <v/>
      </c>
      <c r="Q56" s="126" t="n">
        <v>10</v>
      </c>
      <c r="R56" s="126" t="n">
        <v>2</v>
      </c>
      <c r="S56" s="126" t="n">
        <v>3</v>
      </c>
      <c r="T56" s="129" t="inlineStr">
        <is>
          <t>RPE8,5</t>
        </is>
      </c>
      <c r="U56" s="128">
        <f>$I56</f>
        <v/>
      </c>
      <c r="V56" s="321">
        <f>(Q56*R56)+(R56*U56)</f>
        <v/>
      </c>
      <c r="W56" s="126" t="n"/>
      <c r="X56" s="126" t="n"/>
      <c r="Y56" s="126" t="n"/>
      <c r="Z56" s="129" t="n"/>
      <c r="AA56" s="128">
        <f>$I56</f>
        <v/>
      </c>
      <c r="AB56" s="321">
        <f>(W56*X56)+(X56*AA56)</f>
        <v/>
      </c>
      <c r="AC56" s="32" t="n"/>
      <c r="AD56" s="7" t="n"/>
    </row>
    <row r="57" ht="15.6" customHeight="1">
      <c r="C57" s="77" t="n"/>
      <c r="D57" s="78" t="inlineStr">
        <is>
          <t>Stacchi pinze</t>
        </is>
      </c>
      <c r="E57" s="327" t="n">
        <v>15</v>
      </c>
      <c r="F57" s="93" t="n">
        <v>2</v>
      </c>
      <c r="G57" s="93" t="n">
        <v>3</v>
      </c>
      <c r="H57" s="127" t="n"/>
      <c r="I57" s="327" t="n"/>
      <c r="J57" s="327">
        <f>(E57*F57)+(F57*I57)</f>
        <v/>
      </c>
      <c r="K57" s="327" t="n">
        <v>15</v>
      </c>
      <c r="L57" s="93" t="n">
        <v>2</v>
      </c>
      <c r="M57" s="93" t="n">
        <v>3</v>
      </c>
      <c r="N57" s="127" t="n"/>
      <c r="O57">
        <f>$I57</f>
        <v/>
      </c>
      <c r="P57" s="327">
        <f>(K57*L57)+(L57*O57)</f>
        <v/>
      </c>
      <c r="Q57" s="327" t="n">
        <v>15</v>
      </c>
      <c r="R57" s="93" t="n">
        <v>2</v>
      </c>
      <c r="S57" s="93" t="n">
        <v>3</v>
      </c>
      <c r="T57" s="127" t="n"/>
      <c r="U57">
        <f>$I57</f>
        <v/>
      </c>
      <c r="V57" s="327">
        <f>(Q57*R57)+(R57*U57)</f>
        <v/>
      </c>
      <c r="W57" s="327" t="n"/>
      <c r="X57" s="93" t="n"/>
      <c r="Y57" s="93" t="n"/>
      <c r="Z57" s="127" t="n"/>
      <c r="AA57">
        <f>$I57</f>
        <v/>
      </c>
      <c r="AB57" s="327">
        <f>(W57*X57)+(X57*AA57)</f>
        <v/>
      </c>
      <c r="AC57" s="32" t="n"/>
    </row>
    <row r="58" ht="15.6" customHeight="1">
      <c r="C58" s="77" t="n"/>
      <c r="D58" s="125" t="inlineStr">
        <is>
          <t>Sospensioni micros</t>
        </is>
      </c>
      <c r="E58" s="126" t="n">
        <v>7</v>
      </c>
      <c r="F58" s="126" t="n">
        <v>3</v>
      </c>
      <c r="G58" s="126" t="n">
        <v>2</v>
      </c>
      <c r="H58" s="129" t="n"/>
      <c r="I58" s="321" t="n"/>
      <c r="J58" s="321">
        <f>(E58*F58)+(F58*I58)</f>
        <v/>
      </c>
      <c r="K58" s="126" t="n">
        <v>7</v>
      </c>
      <c r="L58" s="126" t="n">
        <v>3</v>
      </c>
      <c r="M58" s="126" t="n">
        <v>3</v>
      </c>
      <c r="N58" s="129" t="n"/>
      <c r="O58" s="128">
        <f>$I58</f>
        <v/>
      </c>
      <c r="P58" s="321">
        <f>(K58*L58)+(L58*O58)</f>
        <v/>
      </c>
      <c r="Q58" s="126" t="n">
        <v>7</v>
      </c>
      <c r="R58" s="126" t="n">
        <v>3</v>
      </c>
      <c r="S58" s="126" t="n">
        <v>3</v>
      </c>
      <c r="T58" s="129" t="n"/>
      <c r="U58" s="128">
        <f>$I58</f>
        <v/>
      </c>
      <c r="V58" s="321">
        <f>(Q58*R58)+(R58*U58)</f>
        <v/>
      </c>
      <c r="W58" s="126" t="n"/>
      <c r="X58" s="126" t="n"/>
      <c r="Y58" s="126" t="n"/>
      <c r="Z58" s="129" t="n"/>
      <c r="AB58" s="327" t="n"/>
      <c r="AC58" s="32" t="n"/>
    </row>
    <row r="59" ht="15.6" customHeight="1">
      <c r="C59" s="77" t="n"/>
      <c r="D59" s="78" t="inlineStr">
        <is>
          <t>Sospensioni due mani 20mm</t>
        </is>
      </c>
      <c r="E59" s="238" t="inlineStr">
        <is>
          <t>AMRAP</t>
        </is>
      </c>
      <c r="F59" s="93" t="n">
        <v>1</v>
      </c>
      <c r="G59" s="93" t="n">
        <v>1</v>
      </c>
      <c r="H59" s="239" t="n">
        <v>25</v>
      </c>
      <c r="I59" s="327" t="n"/>
      <c r="J59" s="327" t="n"/>
      <c r="K59" s="238" t="inlineStr">
        <is>
          <t>AMRAP</t>
        </is>
      </c>
      <c r="L59" s="93" t="n">
        <v>1</v>
      </c>
      <c r="M59" s="93" t="n">
        <v>1</v>
      </c>
      <c r="N59" s="239" t="n">
        <v>25</v>
      </c>
      <c r="O59" s="327" t="n"/>
      <c r="P59" s="327" t="n"/>
      <c r="Q59" s="238" t="inlineStr">
        <is>
          <t>AMRAP</t>
        </is>
      </c>
      <c r="R59" s="93" t="n">
        <v>1</v>
      </c>
      <c r="S59" s="93" t="n">
        <v>1</v>
      </c>
      <c r="T59" s="239" t="n">
        <v>25</v>
      </c>
      <c r="U59" s="327" t="n"/>
      <c r="V59" s="327" t="n"/>
      <c r="W59" s="238" t="n"/>
      <c r="X59" s="93" t="n"/>
      <c r="Y59" s="93" t="n"/>
      <c r="Z59" s="239" t="n"/>
      <c r="AA59" s="321" t="n"/>
      <c r="AB59" s="321" t="n"/>
      <c r="AC59" s="32" t="n"/>
    </row>
    <row r="60" ht="15.6" customHeight="1">
      <c r="C60" s="77" t="n"/>
      <c r="D60" s="237" t="inlineStr">
        <is>
          <t>Volume totale:</t>
        </is>
      </c>
      <c r="E60" s="322">
        <f t="array" ref="E60">SUMPRODUCT((E55:E57*F55:F57)*G55:G57)</f>
        <v/>
      </c>
      <c r="H60" s="361" t="n"/>
      <c r="I60" s="321" t="n"/>
      <c r="J60" s="321" t="n"/>
      <c r="K60" s="322">
        <f t="array" ref="K60">SUMPRODUCT((K55:K57*L55:L57)*M55:M57)</f>
        <v/>
      </c>
      <c r="N60" s="361" t="n"/>
      <c r="O60" s="321" t="n"/>
      <c r="P60" s="321" t="n"/>
      <c r="Q60" s="322">
        <f t="array" ref="Q60">SUMPRODUCT((Q55:Q57*R55:R57)*S55:S57)</f>
        <v/>
      </c>
      <c r="T60" s="361" t="n"/>
      <c r="U60" s="321" t="n"/>
      <c r="V60" s="321" t="n"/>
      <c r="W60" s="322">
        <f t="array" ref="W60">SUMPRODUCT((W55:W57*X55:X57)*Y55:Y57)</f>
        <v/>
      </c>
      <c r="Z60" s="361" t="n"/>
      <c r="AA60" s="327" t="n"/>
      <c r="AB60" s="327" t="n"/>
      <c r="AC60" s="32" t="n"/>
    </row>
    <row r="61" ht="15.6" customHeight="1">
      <c r="C61" s="77" t="n"/>
      <c r="D61" s="79" t="n"/>
      <c r="E61" s="80" t="n"/>
      <c r="F61" s="327" t="n"/>
      <c r="G61" s="327" t="n"/>
      <c r="H61" s="328" t="n"/>
      <c r="I61" s="327" t="n"/>
      <c r="J61" s="327" t="n"/>
      <c r="K61" s="327" t="n"/>
      <c r="L61" s="327" t="n"/>
      <c r="M61" s="327" t="n"/>
      <c r="N61" s="328" t="n"/>
      <c r="O61" s="327" t="n"/>
      <c r="P61" s="327" t="n"/>
      <c r="Q61" s="327" t="n"/>
      <c r="R61" s="327" t="n"/>
      <c r="S61" s="327" t="n"/>
      <c r="T61" s="328" t="n"/>
      <c r="U61" s="327" t="n"/>
      <c r="V61" s="327" t="n"/>
      <c r="W61" s="80" t="n"/>
      <c r="X61" s="327" t="n"/>
      <c r="Y61" s="327" t="n"/>
      <c r="Z61" s="328" t="n"/>
      <c r="AA61" s="327" t="n"/>
      <c r="AB61" s="327" t="n"/>
      <c r="AC61" s="47" t="n"/>
    </row>
    <row r="62" ht="15.6" customHeight="1">
      <c r="C62" s="77" t="n"/>
      <c r="D62" s="79" t="inlineStr">
        <is>
          <t xml:space="preserve">Recupero:  </t>
        </is>
      </c>
      <c r="E62" s="318" t="inlineStr">
        <is>
          <t xml:space="preserve"> Tra le ripetizioni 12"							</t>
        </is>
      </c>
      <c r="H62" s="361" t="n"/>
      <c r="I62" s="314" t="n"/>
      <c r="J62" s="314" t="n"/>
      <c r="K62" s="318" t="inlineStr">
        <is>
          <t xml:space="preserve"> Tra le ripetizioni 12"							</t>
        </is>
      </c>
      <c r="N62" s="361" t="n"/>
      <c r="O62" s="362" t="inlineStr">
        <is>
          <t xml:space="preserve"> Tra le ripetizioni 12"							</t>
        </is>
      </c>
      <c r="V62" s="361" t="n"/>
      <c r="W62" s="318" t="inlineStr">
        <is>
          <t xml:space="preserve"> Tra le ripetizioni 12"							</t>
        </is>
      </c>
      <c r="Z62" s="361" t="n"/>
      <c r="AA62" s="317" t="n"/>
      <c r="AB62" s="317" t="n"/>
      <c r="AC62" s="36" t="n"/>
    </row>
    <row r="63" ht="15.6" customHeight="1">
      <c r="C63" s="77" t="n"/>
      <c r="D63" s="79" t="n"/>
      <c r="E63" s="315" t="inlineStr">
        <is>
          <t xml:space="preserve"> Tra le serie 2'++</t>
        </is>
      </c>
      <c r="H63" s="361" t="n"/>
      <c r="I63" s="314" t="n"/>
      <c r="J63" s="314" t="n"/>
      <c r="K63" s="315" t="inlineStr">
        <is>
          <t xml:space="preserve"> Tra le serie 2'++</t>
        </is>
      </c>
      <c r="N63" s="361" t="n"/>
      <c r="O63" s="363" t="inlineStr">
        <is>
          <t xml:space="preserve"> Tra le serie 2'++</t>
        </is>
      </c>
      <c r="V63" s="361" t="n"/>
      <c r="W63" s="315" t="inlineStr">
        <is>
          <t xml:space="preserve"> Tra le serie 2'++</t>
        </is>
      </c>
      <c r="Z63" s="361" t="n"/>
      <c r="AA63" s="314" t="n"/>
      <c r="AB63" s="314" t="n"/>
      <c r="AC63" s="36" t="n"/>
    </row>
    <row r="64" ht="29.25" customHeight="1">
      <c r="C64" s="77" t="n"/>
      <c r="D64" s="79" t="n"/>
      <c r="E64" s="314" t="n"/>
      <c r="F64" s="314" t="n"/>
      <c r="G64" s="314" t="n"/>
      <c r="H64" s="314" t="n"/>
      <c r="I64" s="314" t="n"/>
      <c r="J64" s="314" t="n"/>
      <c r="K64" s="314" t="n"/>
      <c r="L64" s="314" t="n"/>
      <c r="M64" s="314" t="n"/>
      <c r="N64" s="314" t="n"/>
      <c r="O64" s="314" t="n"/>
      <c r="P64" s="314" t="n"/>
      <c r="Q64" s="314" t="n"/>
      <c r="R64" s="314" t="n"/>
      <c r="S64" s="314" t="n"/>
      <c r="T64" s="314" t="n"/>
      <c r="U64" s="314" t="n"/>
      <c r="V64" s="314" t="n"/>
      <c r="W64" s="320" t="inlineStr">
        <is>
          <t xml:space="preserve">TEST MASSIMALI A SEGUITO DEL MASSIMALE DI STACCO </t>
        </is>
      </c>
      <c r="AA64" s="314" t="n"/>
      <c r="AB64" s="314" t="n"/>
      <c r="AC64" s="36" t="n"/>
    </row>
    <row r="65" ht="14.45" customHeight="1">
      <c r="C65" s="77" t="n"/>
      <c r="D65" s="313" t="inlineStr">
        <is>
          <t>Esegui le sospensioni senza arrivare mai allo sfinimento (tranne nell'AMRAP), nel caso siano facili aumenta la zavorra</t>
        </is>
      </c>
      <c r="X65" s="39" t="n"/>
      <c r="Y65" s="39" t="n"/>
      <c r="Z65" s="39" t="n"/>
      <c r="AA65" s="39" t="n"/>
      <c r="AB65" s="39" t="n"/>
      <c r="AC65" s="40" t="n"/>
    </row>
    <row r="66" ht="14.45" customHeight="1">
      <c r="C66" s="77" t="n"/>
      <c r="D66" s="313" t="inlineStr">
        <is>
          <t>Esegui l'AMRAP entrambi i giorni di allenamento recuperando 3' prima di farlo</t>
        </is>
      </c>
      <c r="S66" s="313" t="n"/>
      <c r="T66" s="313" t="n"/>
      <c r="U66" s="313" t="n"/>
      <c r="V66" s="313" t="n"/>
      <c r="W66" s="313" t="n"/>
      <c r="X66" s="39" t="n"/>
      <c r="Y66" s="39" t="n"/>
      <c r="Z66" s="39" t="n"/>
      <c r="AA66" s="39" t="n"/>
      <c r="AB66" s="39" t="n"/>
      <c r="AC66" s="40" t="n"/>
    </row>
    <row r="67" ht="15" customHeight="1" thickBot="1">
      <c r="C67" s="81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312" t="n">
        <v>45670</v>
      </c>
      <c r="Z67" s="9" t="n"/>
      <c r="AA67" s="9" t="n"/>
      <c r="AB67" s="9" t="n"/>
      <c r="AC67" s="364" t="n"/>
    </row>
    <row r="68" ht="15" customHeight="1" thickTop="1"/>
  </sheetData>
  <mergeCells count="70">
    <mergeCell ref="D20:K20"/>
    <mergeCell ref="C24:D24"/>
    <mergeCell ref="Q36:T36"/>
    <mergeCell ref="K39:N39"/>
    <mergeCell ref="W39:Z39"/>
    <mergeCell ref="K53:N53"/>
    <mergeCell ref="E16:H16"/>
    <mergeCell ref="O15:V15"/>
    <mergeCell ref="D19:W19"/>
    <mergeCell ref="K38:N38"/>
    <mergeCell ref="E7:H7"/>
    <mergeCell ref="K7:N7"/>
    <mergeCell ref="W60:Z60"/>
    <mergeCell ref="W29:Z29"/>
    <mergeCell ref="D66:R66"/>
    <mergeCell ref="W38:Z38"/>
    <mergeCell ref="L3:M3"/>
    <mergeCell ref="K62:N62"/>
    <mergeCell ref="K13:N13"/>
    <mergeCell ref="O39:V39"/>
    <mergeCell ref="W13:Z13"/>
    <mergeCell ref="E53:H53"/>
    <mergeCell ref="Q53:T53"/>
    <mergeCell ref="W53:Z53"/>
    <mergeCell ref="D65:W65"/>
    <mergeCell ref="C26:Y26"/>
    <mergeCell ref="Q13:T13"/>
    <mergeCell ref="C4:Y4"/>
    <mergeCell ref="Y21:AC21"/>
    <mergeCell ref="Y44:AC44"/>
    <mergeCell ref="C51:AC51"/>
    <mergeCell ref="Q7:T7"/>
    <mergeCell ref="K16:N16"/>
    <mergeCell ref="Y67:AC67"/>
    <mergeCell ref="E62:H62"/>
    <mergeCell ref="O63:V63"/>
    <mergeCell ref="K15:N15"/>
    <mergeCell ref="C27:AC27"/>
    <mergeCell ref="W15:Z15"/>
    <mergeCell ref="C50:Y50"/>
    <mergeCell ref="K36:N36"/>
    <mergeCell ref="W36:Z36"/>
    <mergeCell ref="Z26:AC26"/>
    <mergeCell ref="E39:H39"/>
    <mergeCell ref="O16:V16"/>
    <mergeCell ref="K29:N29"/>
    <mergeCell ref="E38:H38"/>
    <mergeCell ref="W64:Z64"/>
    <mergeCell ref="K60:N60"/>
    <mergeCell ref="D43:Q43"/>
    <mergeCell ref="Z50:AC50"/>
    <mergeCell ref="Q29:T29"/>
    <mergeCell ref="L25:M25"/>
    <mergeCell ref="E29:H29"/>
    <mergeCell ref="E63:H63"/>
    <mergeCell ref="K63:N63"/>
    <mergeCell ref="O62:V62"/>
    <mergeCell ref="W63:Z63"/>
    <mergeCell ref="E13:H13"/>
    <mergeCell ref="E60:H60"/>
    <mergeCell ref="Q60:T60"/>
    <mergeCell ref="O38:V38"/>
    <mergeCell ref="W16:Z16"/>
    <mergeCell ref="W62:Z62"/>
    <mergeCell ref="E15:H15"/>
    <mergeCell ref="L49:M49"/>
    <mergeCell ref="W7:Z7"/>
    <mergeCell ref="D42:W42"/>
    <mergeCell ref="C5:AC5"/>
    <mergeCell ref="E36:H36"/>
  </mergeCells>
  <pageMargins left="0.2362204724409449" right="0.2362204724409449" top="0.7480314960629921" bottom="0.7480314960629921" header="0.3149606299212598" footer="0.3149606299212598"/>
  <pageSetup orientation="landscape" paperSize="9" scale="11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2026-04-16T10:15:18Z</dcterms:modified>
  <cp:lastModifiedBy>Samuele Malavasi</cp:lastModifiedBy>
</cp:coreProperties>
</file>