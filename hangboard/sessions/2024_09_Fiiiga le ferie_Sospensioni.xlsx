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217850</colOff>
      <row>114</row>
      <rowOff>20782</rowOff>
    </from>
    <ext cx="1285195" cy="454083"/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6250" y="1536315"/>
          <a:ext cx="1285195" cy="4540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/>
  </sheetPr>
  <dimension ref="C3:AI147"/>
  <sheetViews>
    <sheetView topLeftCell="A117" zoomScale="85" zoomScaleNormal="85" workbookViewId="0">
      <selection activeCell="Q132" sqref="Q132:T137"/>
    </sheetView>
  </sheetViews>
  <sheetFormatPr baseColWidth="8" defaultRowHeight="1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idden="1" ht="16.5" customHeight="1" thickBot="1">
      <c r="C3" s="24" t="inlineStr">
        <is>
          <t>WEEK 1-4</t>
        </is>
      </c>
      <c r="D3" s="25" t="n"/>
      <c r="G3" s="26" t="n"/>
      <c r="H3" s="26" t="n"/>
      <c r="I3" s="122" t="n"/>
      <c r="J3" s="122" t="n"/>
      <c r="L3" s="283" t="inlineStr">
        <is>
          <t>ESTATE 2024</t>
        </is>
      </c>
      <c r="M3" s="9" t="n"/>
      <c r="N3" s="27" t="n"/>
      <c r="O3" s="27" t="n"/>
      <c r="P3" s="27" t="n"/>
      <c r="Q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305" t="inlineStr">
        <is>
          <t>SAMUELE MALAVASI</t>
        </is>
      </c>
      <c r="AG3" s="41" t="n"/>
      <c r="AH3" s="41" t="n"/>
      <c r="AI3" s="41" t="n"/>
    </row>
    <row r="4" hidden="1" ht="40.15" customHeight="1" thickBot="1" thickTop="1">
      <c r="C4" s="296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AA4" s="164" t="n"/>
      <c r="AB4" s="164" t="n"/>
      <c r="AC4" s="165" t="inlineStr">
        <is>
          <t xml:space="preserve">S M </t>
        </is>
      </c>
      <c r="AD4" s="7" t="n"/>
      <c r="AG4" s="43" t="n"/>
      <c r="AH4" s="43" t="n"/>
      <c r="AI4" s="43" t="n"/>
    </row>
    <row r="5" hidden="1" ht="18.6" customHeight="1" thickBot="1" thickTop="1">
      <c r="C5" s="334" t="inlineStr">
        <is>
          <t>2024_06_SOSPENSIONI</t>
        </is>
      </c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5" t="n"/>
    </row>
    <row r="6" hidden="1" ht="14.45" customHeight="1" thickTop="1">
      <c r="C6" s="74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6" t="n"/>
      <c r="AG6" s="41" t="n"/>
      <c r="AH6" s="41" t="n"/>
      <c r="AI6" s="41" t="n"/>
    </row>
    <row r="7" hidden="1" ht="15.75" customHeight="1">
      <c r="C7" s="77" t="n"/>
      <c r="D7" s="24" t="inlineStr">
        <is>
          <t>FORZA</t>
        </is>
      </c>
      <c r="E7" s="319" t="inlineStr">
        <is>
          <t>Wk 1</t>
        </is>
      </c>
      <c r="H7" s="336" t="n"/>
      <c r="I7" s="319" t="n"/>
      <c r="J7" s="319" t="n"/>
      <c r="K7" s="319" t="inlineStr">
        <is>
          <t>Wk 2</t>
        </is>
      </c>
      <c r="N7" s="336" t="n"/>
      <c r="O7" s="319" t="n"/>
      <c r="P7" s="319" t="n"/>
      <c r="Q7" s="319" t="inlineStr">
        <is>
          <t>Wk 3</t>
        </is>
      </c>
      <c r="T7" s="336" t="n"/>
      <c r="U7" s="319" t="n"/>
      <c r="V7" s="319" t="n"/>
      <c r="W7" s="319" t="inlineStr">
        <is>
          <t>Wk 4</t>
        </is>
      </c>
      <c r="Z7" s="336" t="n"/>
      <c r="AA7" s="318" t="n"/>
      <c r="AB7" s="318" t="n"/>
      <c r="AC7" s="32" t="n"/>
    </row>
    <row r="8" hidden="1" ht="15.75" customHeight="1">
      <c r="C8" s="77" t="n"/>
      <c r="D8" s="73" t="inlineStr">
        <is>
          <t>Esercizio</t>
        </is>
      </c>
      <c r="E8" s="94" t="inlineStr">
        <is>
          <t>TEMPO</t>
        </is>
      </c>
      <c r="F8" s="33" t="inlineStr">
        <is>
          <t>REP</t>
        </is>
      </c>
      <c r="G8" s="94" t="inlineStr">
        <is>
          <t>SET</t>
        </is>
      </c>
      <c r="H8" s="72" t="inlineStr">
        <is>
          <t>CARICO</t>
        </is>
      </c>
      <c r="I8" s="121" t="inlineStr">
        <is>
          <t>Rest</t>
        </is>
      </c>
      <c r="J8" s="121" t="inlineStr">
        <is>
          <t>TUT es</t>
        </is>
      </c>
      <c r="K8" s="94" t="inlineStr">
        <is>
          <t>TEMPO</t>
        </is>
      </c>
      <c r="L8" s="33" t="inlineStr">
        <is>
          <t>REP</t>
        </is>
      </c>
      <c r="M8" s="94" t="inlineStr">
        <is>
          <t>SET</t>
        </is>
      </c>
      <c r="N8" s="72" t="inlineStr">
        <is>
          <t>CARICO</t>
        </is>
      </c>
      <c r="O8" s="121" t="inlineStr">
        <is>
          <t>Rest</t>
        </is>
      </c>
      <c r="P8" s="121" t="inlineStr">
        <is>
          <t>TUT es</t>
        </is>
      </c>
      <c r="Q8" s="94" t="inlineStr">
        <is>
          <t>TEMPO</t>
        </is>
      </c>
      <c r="R8" s="33" t="inlineStr">
        <is>
          <t>REP</t>
        </is>
      </c>
      <c r="S8" s="94" t="inlineStr">
        <is>
          <t>SET</t>
        </is>
      </c>
      <c r="T8" s="72" t="inlineStr">
        <is>
          <t>CARICO</t>
        </is>
      </c>
      <c r="U8" s="121" t="inlineStr">
        <is>
          <t>Rest</t>
        </is>
      </c>
      <c r="V8" s="121" t="inlineStr">
        <is>
          <t>TUT es</t>
        </is>
      </c>
      <c r="W8" s="94" t="inlineStr">
        <is>
          <t>TEMPO</t>
        </is>
      </c>
      <c r="X8" s="33" t="inlineStr">
        <is>
          <t>REP</t>
        </is>
      </c>
      <c r="Y8" s="94" t="inlineStr">
        <is>
          <t>SET</t>
        </is>
      </c>
      <c r="Z8" s="72" t="inlineStr">
        <is>
          <t>CARICO</t>
        </is>
      </c>
      <c r="AA8" s="121" t="inlineStr">
        <is>
          <t>Rest</t>
        </is>
      </c>
      <c r="AB8" s="121" t="inlineStr">
        <is>
          <t>TUT es</t>
        </is>
      </c>
      <c r="AC8" s="32" t="n"/>
    </row>
    <row r="9" hidden="1" ht="16.15" customHeight="1">
      <c r="C9" s="77" t="n"/>
      <c r="D9" s="78" t="inlineStr">
        <is>
          <t>Stacco da terra 20mm</t>
        </is>
      </c>
      <c r="E9" s="93" t="inlineStr">
        <is>
          <t>X</t>
        </is>
      </c>
      <c r="F9" s="34" t="n">
        <v>1</v>
      </c>
      <c r="G9" s="93" t="n">
        <v>1</v>
      </c>
      <c r="H9" s="222" t="inlineStr">
        <is>
          <t>RPE6</t>
        </is>
      </c>
      <c r="I9" s="321" t="n"/>
      <c r="J9" s="321">
        <f>(E9*F9)+(F9*I9)</f>
        <v/>
      </c>
      <c r="K9" s="93" t="inlineStr">
        <is>
          <t>X</t>
        </is>
      </c>
      <c r="L9" s="34" t="n">
        <v>1</v>
      </c>
      <c r="M9" s="93" t="n">
        <v>1</v>
      </c>
      <c r="N9" s="222" t="inlineStr">
        <is>
          <t>RPE7</t>
        </is>
      </c>
      <c r="O9">
        <f>$I9</f>
        <v/>
      </c>
      <c r="P9" s="321">
        <f>(K9*L9)+(L9*O9)</f>
        <v/>
      </c>
      <c r="Q9" s="93" t="inlineStr">
        <is>
          <t>X</t>
        </is>
      </c>
      <c r="R9" s="34" t="n">
        <v>1</v>
      </c>
      <c r="S9" s="93" t="n">
        <v>1</v>
      </c>
      <c r="T9" s="222" t="inlineStr">
        <is>
          <t>RPE8</t>
        </is>
      </c>
      <c r="U9">
        <f>$I9</f>
        <v/>
      </c>
      <c r="V9" s="321">
        <f>(Q9*R9)+(R9*U9)</f>
        <v/>
      </c>
      <c r="W9" s="93" t="inlineStr">
        <is>
          <t>Test 8RM</t>
        </is>
      </c>
      <c r="X9" s="34" t="inlineStr">
        <is>
          <t>AMRAP</t>
        </is>
      </c>
      <c r="Y9" s="93" t="n">
        <v>1</v>
      </c>
      <c r="Z9" s="222" t="n">
        <v>39</v>
      </c>
      <c r="AA9">
        <f>$I9</f>
        <v/>
      </c>
      <c r="AB9" s="321">
        <f>(W9*X9)+(X9*AA9)</f>
        <v/>
      </c>
      <c r="AC9" s="32" t="n"/>
      <c r="AD9" s="24" t="n"/>
      <c r="AE9" s="24" t="n"/>
      <c r="AF9" s="24" t="n"/>
    </row>
    <row r="10" hidden="1" ht="16.15" customHeight="1">
      <c r="C10" s="77" t="n"/>
      <c r="D10" s="78" t="n"/>
      <c r="E10" s="93" t="inlineStr">
        <is>
          <t>X</t>
        </is>
      </c>
      <c r="F10" s="34" t="n">
        <v>5</v>
      </c>
      <c r="G10" s="93" t="n">
        <v>3</v>
      </c>
      <c r="H10" s="222" t="inlineStr">
        <is>
          <t>75-80%</t>
        </is>
      </c>
      <c r="I10" s="321" t="n"/>
      <c r="J10" s="321" t="n"/>
      <c r="K10" s="93" t="inlineStr">
        <is>
          <t>X</t>
        </is>
      </c>
      <c r="L10" s="34" t="n">
        <v>6</v>
      </c>
      <c r="M10" s="93" t="n">
        <v>3</v>
      </c>
      <c r="N10" s="222" t="inlineStr">
        <is>
          <t>75-80%</t>
        </is>
      </c>
      <c r="P10" s="321" t="n"/>
      <c r="Q10" s="93" t="inlineStr">
        <is>
          <t>X</t>
        </is>
      </c>
      <c r="R10" s="34" t="n">
        <v>7</v>
      </c>
      <c r="S10" s="93" t="n">
        <v>3</v>
      </c>
      <c r="T10" s="222" t="inlineStr">
        <is>
          <t>75-80%</t>
        </is>
      </c>
      <c r="V10" s="321" t="n"/>
      <c r="W10" s="93" t="n"/>
      <c r="X10" s="34" t="n"/>
      <c r="Y10" s="93" t="n"/>
      <c r="Z10" s="127" t="n"/>
      <c r="AB10" s="321" t="n"/>
      <c r="AC10" s="32" t="n"/>
      <c r="AD10" s="24" t="n"/>
      <c r="AE10" s="24" t="n"/>
      <c r="AF10" s="24" t="n"/>
    </row>
    <row r="11" hidden="1" ht="15.75" customHeight="1">
      <c r="C11" s="77" t="n"/>
      <c r="D11" s="123" t="inlineStr">
        <is>
          <t>Sospensioni 3 dita stese</t>
        </is>
      </c>
      <c r="E11" s="124" t="n">
        <v>4</v>
      </c>
      <c r="F11" s="124" t="n">
        <v>4</v>
      </c>
      <c r="G11" s="124" t="n">
        <v>2</v>
      </c>
      <c r="H11" s="130" t="n"/>
      <c r="I11" s="126" t="n"/>
      <c r="J11" s="126">
        <f>(E11*F11)+(F11*I11)</f>
        <v/>
      </c>
      <c r="K11" s="124" t="n">
        <v>4</v>
      </c>
      <c r="L11" s="124" t="n">
        <v>4</v>
      </c>
      <c r="M11" s="124" t="n">
        <v>3</v>
      </c>
      <c r="N11" s="130" t="n"/>
      <c r="O11" s="129">
        <f>$I11</f>
        <v/>
      </c>
      <c r="P11" s="126">
        <f>(K11*L11)+(L11*O11)</f>
        <v/>
      </c>
      <c r="Q11" s="124" t="n">
        <v>4</v>
      </c>
      <c r="R11" s="124" t="n">
        <v>4</v>
      </c>
      <c r="S11" s="124" t="n">
        <v>3</v>
      </c>
      <c r="T11" s="130" t="n"/>
      <c r="U11" s="129">
        <f>$I11</f>
        <v/>
      </c>
      <c r="V11" s="126">
        <f>(Q11*R11)+(R11*U11)</f>
        <v/>
      </c>
      <c r="W11" s="124" t="n">
        <v>4</v>
      </c>
      <c r="X11" s="124" t="n">
        <v>4</v>
      </c>
      <c r="Y11" s="124" t="n">
        <v>2</v>
      </c>
      <c r="Z11" s="130" t="n"/>
      <c r="AA11" s="129">
        <f>$I11</f>
        <v/>
      </c>
      <c r="AB11" s="126">
        <f>(W11*X11)+(X11*AA11)</f>
        <v/>
      </c>
      <c r="AC11" s="32" t="n"/>
      <c r="AD11" s="7" t="n"/>
    </row>
    <row r="12" hidden="1" ht="15.75" customHeight="1">
      <c r="C12" s="77" t="n"/>
      <c r="D12" s="78" t="inlineStr">
        <is>
          <t>Sospensioni svase</t>
        </is>
      </c>
      <c r="E12" s="321" t="n">
        <v>5</v>
      </c>
      <c r="F12" s="93" t="n">
        <v>3</v>
      </c>
      <c r="G12" s="93" t="n">
        <v>2</v>
      </c>
      <c r="H12" s="127" t="n"/>
      <c r="I12" s="321" t="n"/>
      <c r="J12" s="321">
        <f>(E12*F12)+(F12*I12)</f>
        <v/>
      </c>
      <c r="K12" s="321" t="n">
        <v>5</v>
      </c>
      <c r="L12" s="93" t="n">
        <v>3</v>
      </c>
      <c r="M12" s="93" t="n">
        <v>3</v>
      </c>
      <c r="N12" s="127" t="n"/>
      <c r="O12">
        <f>$I12</f>
        <v/>
      </c>
      <c r="P12" s="321">
        <f>(K12*L12)+(L12*O12)</f>
        <v/>
      </c>
      <c r="Q12" s="321" t="n">
        <v>5</v>
      </c>
      <c r="R12" s="93" t="n">
        <v>3</v>
      </c>
      <c r="S12" s="93" t="n">
        <v>3</v>
      </c>
      <c r="T12" s="127" t="n"/>
      <c r="U12">
        <f>$I12</f>
        <v/>
      </c>
      <c r="V12" s="321">
        <f>(Q12*R12)+(R12*U12)</f>
        <v/>
      </c>
      <c r="W12" s="321" t="n">
        <v>5</v>
      </c>
      <c r="X12" s="93" t="n">
        <v>3</v>
      </c>
      <c r="Y12" s="93" t="n">
        <v>2</v>
      </c>
      <c r="Z12" s="127" t="n"/>
      <c r="AA12">
        <f>$I12</f>
        <v/>
      </c>
      <c r="AB12" s="321">
        <f>(W12*X12)+(X12*AA12)</f>
        <v/>
      </c>
      <c r="AC12" s="32" t="n"/>
    </row>
    <row r="13" hidden="1" ht="15.75" customHeight="1">
      <c r="C13" s="77" t="n"/>
      <c r="D13" s="123" t="inlineStr">
        <is>
          <t>Sospensione due mani 20mm</t>
        </is>
      </c>
      <c r="E13" s="157" t="inlineStr">
        <is>
          <t>AMRAP</t>
        </is>
      </c>
      <c r="F13" s="124" t="n">
        <v>1</v>
      </c>
      <c r="G13" s="124" t="n">
        <v>1</v>
      </c>
      <c r="H13" s="125" t="n">
        <v>25</v>
      </c>
      <c r="I13" s="126" t="n"/>
      <c r="J13" s="126" t="n"/>
      <c r="K13" s="157" t="inlineStr">
        <is>
          <t>AMRAP</t>
        </is>
      </c>
      <c r="L13" s="124" t="n">
        <v>1</v>
      </c>
      <c r="M13" s="124" t="n">
        <v>1</v>
      </c>
      <c r="N13" s="125" t="n">
        <v>25</v>
      </c>
      <c r="O13" s="126" t="n"/>
      <c r="P13" s="126" t="n"/>
      <c r="Q13" s="157" t="inlineStr">
        <is>
          <t>AMRAP</t>
        </is>
      </c>
      <c r="R13" s="124" t="n">
        <v>1</v>
      </c>
      <c r="S13" s="124" t="n">
        <v>1</v>
      </c>
      <c r="T13" s="125" t="n">
        <v>25</v>
      </c>
      <c r="U13" s="126" t="n"/>
      <c r="V13" s="126" t="n"/>
      <c r="W13" s="157" t="inlineStr">
        <is>
          <t>AMRAP</t>
        </is>
      </c>
      <c r="X13" s="124" t="n">
        <v>1</v>
      </c>
      <c r="Y13" s="124" t="n">
        <v>1</v>
      </c>
      <c r="Z13" s="125" t="n">
        <v>25</v>
      </c>
      <c r="AA13" s="126" t="n"/>
      <c r="AB13" s="126" t="n"/>
      <c r="AC13" s="32" t="n"/>
    </row>
    <row r="14" hidden="1" ht="15.75" customHeight="1">
      <c r="C14" s="77" t="n"/>
      <c r="D14" s="79" t="inlineStr">
        <is>
          <t>Volume totale:</t>
        </is>
      </c>
      <c r="E14" s="322">
        <f t="array" ref="E14">SUMPRODUCT((E9:E12*F9:F12)*G9:G12)</f>
        <v/>
      </c>
      <c r="H14" s="337" t="n"/>
      <c r="I14" s="321" t="n"/>
      <c r="J14" s="321" t="n"/>
      <c r="K14" s="322">
        <f t="array" ref="K14">SUMPRODUCT((K9:K12*L9:L12)*M9:M12)</f>
        <v/>
      </c>
      <c r="N14" s="337" t="n"/>
      <c r="O14" s="321" t="n"/>
      <c r="P14" s="321" t="n"/>
      <c r="Q14" s="322">
        <f t="array" ref="Q14">SUMPRODUCT((Q9:Q12*R9:R12)*S9:S12)</f>
        <v/>
      </c>
      <c r="T14" s="337" t="n"/>
      <c r="U14" s="321" t="n"/>
      <c r="V14" s="321" t="n"/>
      <c r="W14" s="322">
        <f t="array" ref="W14">SUMPRODUCT((W9:W12*X9:X12)*Y9:Y12)</f>
        <v/>
      </c>
      <c r="Z14" s="337" t="n"/>
      <c r="AA14" s="321" t="n"/>
      <c r="AB14" s="321" t="n"/>
      <c r="AC14" s="32" t="n"/>
    </row>
    <row r="15" hidden="1" ht="15.6" customHeight="1">
      <c r="C15" s="77" t="n"/>
      <c r="D15" s="79" t="n"/>
      <c r="E15" s="80" t="n"/>
      <c r="F15" s="321" t="n"/>
      <c r="G15" s="321" t="n"/>
      <c r="H15" s="322" t="n"/>
      <c r="I15" s="321" t="n"/>
      <c r="J15" s="321" t="n"/>
      <c r="K15" s="321" t="n"/>
      <c r="L15" s="321" t="n"/>
      <c r="M15" s="321" t="n"/>
      <c r="N15" s="322" t="n"/>
      <c r="O15" s="321" t="n"/>
      <c r="P15" s="321" t="n"/>
      <c r="Q15" s="321" t="n"/>
      <c r="R15" s="321" t="n"/>
      <c r="S15" s="321" t="n"/>
      <c r="T15" s="322" t="n"/>
      <c r="U15" s="321" t="n"/>
      <c r="V15" s="321" t="n"/>
      <c r="W15" s="80" t="n"/>
      <c r="X15" s="321" t="n"/>
      <c r="Y15" s="321" t="n"/>
      <c r="Z15" s="322" t="n"/>
      <c r="AA15" s="321" t="n"/>
      <c r="AB15" s="321" t="n"/>
      <c r="AC15" s="47" t="n"/>
    </row>
    <row r="16" hidden="1" ht="15.6" customHeight="1">
      <c r="C16" s="77" t="n"/>
      <c r="D16" s="79" t="inlineStr">
        <is>
          <t xml:space="preserve">Recupero:  </t>
        </is>
      </c>
      <c r="E16" s="315" t="inlineStr">
        <is>
          <t xml:space="preserve"> Tra le ripetizioni 12"							</t>
        </is>
      </c>
      <c r="H16" s="337" t="n"/>
      <c r="I16" s="316" t="n"/>
      <c r="J16" s="316" t="n"/>
      <c r="K16" s="315" t="inlineStr">
        <is>
          <t xml:space="preserve"> Tra le ripetizioni 12"							</t>
        </is>
      </c>
      <c r="N16" s="337" t="n"/>
      <c r="O16" s="316" t="n"/>
      <c r="P16" s="316" t="n"/>
      <c r="Q16" s="315" t="inlineStr">
        <is>
          <t xml:space="preserve"> Tra le ripetizioni 12"							</t>
        </is>
      </c>
      <c r="T16" s="337" t="n"/>
      <c r="U16" s="316" t="n"/>
      <c r="V16" s="316" t="n"/>
      <c r="W16" s="315" t="inlineStr">
        <is>
          <t xml:space="preserve"> Tra le ripetizioni 12"							</t>
        </is>
      </c>
      <c r="Z16" s="337" t="n"/>
      <c r="AA16" s="314" t="n"/>
      <c r="AB16" s="314" t="n"/>
      <c r="AC16" s="36" t="n"/>
    </row>
    <row r="17" hidden="1" ht="15.6" customHeight="1">
      <c r="C17" s="77" t="n"/>
      <c r="D17" s="79" t="n"/>
      <c r="E17" s="317" t="inlineStr">
        <is>
          <t xml:space="preserve"> Tra le serie 2'+</t>
        </is>
      </c>
      <c r="H17" s="337" t="n"/>
      <c r="I17" s="316" t="n"/>
      <c r="J17" s="316" t="n"/>
      <c r="K17" s="317" t="inlineStr">
        <is>
          <t xml:space="preserve"> Tra le serie 2'+</t>
        </is>
      </c>
      <c r="N17" s="337" t="n"/>
      <c r="O17" s="316" t="n"/>
      <c r="P17" s="316" t="n"/>
      <c r="Q17" s="317" t="inlineStr">
        <is>
          <t xml:space="preserve"> Tra le serie 2'+</t>
        </is>
      </c>
      <c r="T17" s="337" t="n"/>
      <c r="U17" s="316" t="n"/>
      <c r="V17" s="316" t="n"/>
      <c r="W17" s="317" t="inlineStr">
        <is>
          <t xml:space="preserve"> Tra le serie 2'+</t>
        </is>
      </c>
      <c r="Z17" s="337" t="n"/>
      <c r="AA17" s="316" t="n"/>
      <c r="AB17" s="316" t="n"/>
      <c r="AC17" s="36" t="n"/>
    </row>
    <row r="18" hidden="1" ht="15.75" customHeight="1">
      <c r="C18" s="77" t="n"/>
      <c r="D18" s="79" t="n"/>
      <c r="E18" s="316" t="n"/>
      <c r="F18" s="316" t="n"/>
      <c r="G18" s="316" t="n"/>
      <c r="H18" s="316" t="n"/>
      <c r="I18" s="316" t="n"/>
      <c r="J18" s="316" t="n"/>
      <c r="K18" s="316" t="n"/>
      <c r="L18" s="316" t="n"/>
      <c r="M18" s="316" t="n"/>
      <c r="N18" s="316" t="n"/>
      <c r="O18" s="316" t="n"/>
      <c r="P18" s="316" t="n"/>
      <c r="Q18" s="316" t="n"/>
      <c r="R18" s="316" t="n"/>
      <c r="S18" s="316" t="n"/>
      <c r="T18" s="316" t="n"/>
      <c r="U18" s="316" t="n"/>
      <c r="V18" s="316" t="n"/>
      <c r="W18" s="316" t="n"/>
      <c r="X18" s="316" t="n"/>
      <c r="Y18" s="316" t="n"/>
      <c r="Z18" s="316" t="n"/>
      <c r="AA18" s="316" t="n"/>
      <c r="AB18" s="316" t="n"/>
      <c r="AC18" s="36" t="n"/>
    </row>
    <row r="19" hidden="1" ht="15.75" customHeight="1">
      <c r="C19" s="77" t="n"/>
      <c r="D19" s="24" t="inlineStr">
        <is>
          <t>FORZA</t>
        </is>
      </c>
      <c r="E19" s="319" t="inlineStr">
        <is>
          <t>Wk 1</t>
        </is>
      </c>
      <c r="H19" s="336" t="n"/>
      <c r="I19" s="319" t="n"/>
      <c r="J19" s="319" t="n"/>
      <c r="K19" s="319" t="inlineStr">
        <is>
          <t>Wk 2</t>
        </is>
      </c>
      <c r="N19" s="336" t="n"/>
      <c r="O19" s="319" t="n"/>
      <c r="P19" s="319" t="n"/>
      <c r="Q19" s="319" t="inlineStr">
        <is>
          <t>Wk 3</t>
        </is>
      </c>
      <c r="T19" s="336" t="n"/>
      <c r="U19" s="319" t="n"/>
      <c r="V19" s="319" t="n"/>
      <c r="W19" s="319" t="inlineStr">
        <is>
          <t>Wk 4</t>
        </is>
      </c>
      <c r="Z19" s="336" t="n"/>
      <c r="AA19" s="318" t="n"/>
      <c r="AB19" s="318" t="n"/>
      <c r="AC19" s="32" t="n"/>
    </row>
    <row r="20" hidden="1" ht="15.75" customHeight="1">
      <c r="C20" s="77" t="n"/>
      <c r="D20" s="73" t="inlineStr">
        <is>
          <t>Esercizio</t>
        </is>
      </c>
      <c r="E20" s="94" t="inlineStr">
        <is>
          <t>TEMPO</t>
        </is>
      </c>
      <c r="F20" s="33" t="inlineStr">
        <is>
          <t>REP</t>
        </is>
      </c>
      <c r="G20" s="94" t="inlineStr">
        <is>
          <t>SET</t>
        </is>
      </c>
      <c r="H20" s="72" t="inlineStr">
        <is>
          <t>CARICO</t>
        </is>
      </c>
      <c r="I20" s="121" t="inlineStr">
        <is>
          <t>Rest</t>
        </is>
      </c>
      <c r="J20" s="121" t="inlineStr">
        <is>
          <t>TUT es</t>
        </is>
      </c>
      <c r="K20" s="94" t="inlineStr">
        <is>
          <t>TEMPO</t>
        </is>
      </c>
      <c r="L20" s="33" t="inlineStr">
        <is>
          <t>REP</t>
        </is>
      </c>
      <c r="M20" s="94" t="inlineStr">
        <is>
          <t>SET</t>
        </is>
      </c>
      <c r="N20" s="72" t="inlineStr">
        <is>
          <t>CARICO</t>
        </is>
      </c>
      <c r="O20" s="121" t="inlineStr">
        <is>
          <t>Rest</t>
        </is>
      </c>
      <c r="P20" s="121" t="inlineStr">
        <is>
          <t>TUT es</t>
        </is>
      </c>
      <c r="Q20" s="94" t="inlineStr">
        <is>
          <t>TEMPO</t>
        </is>
      </c>
      <c r="R20" s="33" t="inlineStr">
        <is>
          <t>REP</t>
        </is>
      </c>
      <c r="S20" s="94" t="inlineStr">
        <is>
          <t>SET</t>
        </is>
      </c>
      <c r="T20" s="72" t="inlineStr">
        <is>
          <t>CARICO</t>
        </is>
      </c>
      <c r="U20" s="121" t="inlineStr">
        <is>
          <t>Rest</t>
        </is>
      </c>
      <c r="V20" s="121" t="inlineStr">
        <is>
          <t>TUT es</t>
        </is>
      </c>
      <c r="W20" s="94" t="inlineStr">
        <is>
          <t>TEMPO</t>
        </is>
      </c>
      <c r="X20" s="33" t="inlineStr">
        <is>
          <t>REP</t>
        </is>
      </c>
      <c r="Y20" s="94" t="inlineStr">
        <is>
          <t>SET</t>
        </is>
      </c>
      <c r="Z20" s="72" t="inlineStr">
        <is>
          <t>CARICO</t>
        </is>
      </c>
      <c r="AA20" s="121" t="inlineStr">
        <is>
          <t>Rest</t>
        </is>
      </c>
      <c r="AB20" s="121" t="inlineStr">
        <is>
          <t>TUT es</t>
        </is>
      </c>
      <c r="AC20" s="32" t="n"/>
    </row>
    <row r="21" hidden="1" ht="16.15" customHeight="1">
      <c r="C21" s="77" t="n"/>
      <c r="D21" s="78" t="inlineStr">
        <is>
          <t>Stacco da terra dita stese</t>
        </is>
      </c>
      <c r="E21" s="93" t="inlineStr">
        <is>
          <t>X</t>
        </is>
      </c>
      <c r="F21" s="34" t="n">
        <v>3</v>
      </c>
      <c r="G21" s="93" t="n">
        <v>3</v>
      </c>
      <c r="H21" s="127" t="inlineStr">
        <is>
          <t>RPE6</t>
        </is>
      </c>
      <c r="I21" s="321" t="n"/>
      <c r="J21" s="321">
        <f>(E21*F21)+(F21*I21)</f>
        <v/>
      </c>
      <c r="K21" s="93" t="inlineStr">
        <is>
          <t>X</t>
        </is>
      </c>
      <c r="L21" s="34" t="n">
        <v>4</v>
      </c>
      <c r="M21" s="93" t="n">
        <v>3</v>
      </c>
      <c r="N21" s="127" t="inlineStr">
        <is>
          <t>RPE7</t>
        </is>
      </c>
      <c r="O21">
        <f>$I21</f>
        <v/>
      </c>
      <c r="P21" s="321">
        <f>(K21*L21)+(L21*O21)</f>
        <v/>
      </c>
      <c r="Q21" s="93" t="inlineStr">
        <is>
          <t>X</t>
        </is>
      </c>
      <c r="R21" s="34" t="n">
        <v>5</v>
      </c>
      <c r="S21" s="93" t="n">
        <v>3</v>
      </c>
      <c r="T21" s="127" t="inlineStr">
        <is>
          <t>RPE8</t>
        </is>
      </c>
      <c r="U21">
        <f>$I21</f>
        <v/>
      </c>
      <c r="V21" s="321">
        <f>(Q21*R21)+(R21*U21)</f>
        <v/>
      </c>
      <c r="W21" s="93" t="inlineStr">
        <is>
          <t>\</t>
        </is>
      </c>
      <c r="X21" s="34" t="inlineStr">
        <is>
          <t>\</t>
        </is>
      </c>
      <c r="Y21" s="93" t="inlineStr">
        <is>
          <t>\</t>
        </is>
      </c>
      <c r="Z21" s="222" t="inlineStr">
        <is>
          <t>\</t>
        </is>
      </c>
      <c r="AA21">
        <f>$I21</f>
        <v/>
      </c>
      <c r="AB21" s="321">
        <f>(W21*X21)+(X21*AA21)</f>
        <v/>
      </c>
      <c r="AC21" s="32" t="n"/>
      <c r="AD21" s="24" t="n"/>
      <c r="AE21" s="24" t="n"/>
      <c r="AF21" s="24" t="n"/>
    </row>
    <row r="22" hidden="1" ht="15.75" customHeight="1">
      <c r="C22" s="77" t="n"/>
      <c r="D22" s="123" t="inlineStr">
        <is>
          <t>Sospensioni bidito semiarcuate scaricate</t>
        </is>
      </c>
      <c r="E22" s="124" t="n">
        <v>5</v>
      </c>
      <c r="F22" s="124" t="n">
        <v>3</v>
      </c>
      <c r="G22" s="124" t="n">
        <v>2</v>
      </c>
      <c r="H22" s="130" t="n"/>
      <c r="I22" s="126" t="n"/>
      <c r="J22" s="126">
        <f>(E22*F22)+(F22*I22)</f>
        <v/>
      </c>
      <c r="K22" s="124" t="n">
        <v>5</v>
      </c>
      <c r="L22" s="124" t="n">
        <v>3</v>
      </c>
      <c r="M22" s="124" t="n">
        <v>2</v>
      </c>
      <c r="N22" s="130" t="n"/>
      <c r="O22" s="129">
        <f>$I22</f>
        <v/>
      </c>
      <c r="P22" s="126">
        <f>(K22*L22)+(L22*O22)</f>
        <v/>
      </c>
      <c r="Q22" s="124" t="n">
        <v>5</v>
      </c>
      <c r="R22" s="124" t="n">
        <v>3</v>
      </c>
      <c r="S22" s="124" t="n">
        <v>2</v>
      </c>
      <c r="T22" s="130" t="n"/>
      <c r="U22" s="129">
        <f>$I22</f>
        <v/>
      </c>
      <c r="V22" s="126">
        <f>(Q22*R22)+(R22*U22)</f>
        <v/>
      </c>
      <c r="W22" s="124" t="n">
        <v>5</v>
      </c>
      <c r="X22" s="124" t="n">
        <v>3</v>
      </c>
      <c r="Y22" s="124" t="n">
        <v>2</v>
      </c>
      <c r="Z22" s="130" t="n"/>
      <c r="AA22" s="129">
        <f>$I22</f>
        <v/>
      </c>
      <c r="AB22" s="126">
        <f>(W22*X22)+(X22*AA22)</f>
        <v/>
      </c>
      <c r="AC22" s="32" t="n"/>
      <c r="AD22" s="7" t="n"/>
    </row>
    <row r="23" hidden="1" ht="15.75" customHeight="1">
      <c r="C23" s="77" t="n"/>
      <c r="D23" s="78" t="inlineStr">
        <is>
          <t>Sospensioni svase</t>
        </is>
      </c>
      <c r="E23" s="321" t="n">
        <v>6</v>
      </c>
      <c r="F23" s="93" t="n">
        <v>2</v>
      </c>
      <c r="G23" s="93" t="n">
        <v>3</v>
      </c>
      <c r="H23" s="127" t="n"/>
      <c r="I23" s="321" t="n"/>
      <c r="J23" s="321">
        <f>(E23*F23)+(F23*I23)</f>
        <v/>
      </c>
      <c r="K23" s="321" t="n">
        <v>6</v>
      </c>
      <c r="L23" s="93" t="n">
        <v>2</v>
      </c>
      <c r="M23" s="93" t="n">
        <v>3</v>
      </c>
      <c r="N23" s="127" t="n"/>
      <c r="O23">
        <f>$I23</f>
        <v/>
      </c>
      <c r="P23" s="321">
        <f>(K23*L23)+(L23*O23)</f>
        <v/>
      </c>
      <c r="Q23" s="321" t="n">
        <v>6</v>
      </c>
      <c r="R23" s="93" t="n">
        <v>3</v>
      </c>
      <c r="S23" s="93" t="n">
        <v>3</v>
      </c>
      <c r="T23" s="127" t="n"/>
      <c r="U23">
        <f>$I23</f>
        <v/>
      </c>
      <c r="V23" s="321">
        <f>(Q23*R23)+(R23*U23)</f>
        <v/>
      </c>
      <c r="W23" s="321" t="n">
        <v>6</v>
      </c>
      <c r="X23" s="93" t="n">
        <v>3</v>
      </c>
      <c r="Y23" s="93" t="n">
        <v>2</v>
      </c>
      <c r="Z23" s="127" t="n"/>
      <c r="AA23">
        <f>$I23</f>
        <v/>
      </c>
      <c r="AB23" s="321">
        <f>(W23*X23)+(X23*AA23)</f>
        <v/>
      </c>
      <c r="AC23" s="32" t="n"/>
    </row>
    <row r="24" hidden="1" ht="15.75" customHeight="1">
      <c r="C24" s="77" t="n"/>
      <c r="D24" s="123" t="inlineStr">
        <is>
          <t>Sospensione due mani 20mm</t>
        </is>
      </c>
      <c r="E24" s="157" t="inlineStr">
        <is>
          <t>AMRAP</t>
        </is>
      </c>
      <c r="F24" s="124" t="n">
        <v>1</v>
      </c>
      <c r="G24" s="124" t="n">
        <v>1</v>
      </c>
      <c r="H24" s="125" t="n">
        <v>25</v>
      </c>
      <c r="I24" s="126" t="n"/>
      <c r="J24" s="126" t="n"/>
      <c r="K24" s="157" t="inlineStr">
        <is>
          <t>AMRAP</t>
        </is>
      </c>
      <c r="L24" s="124" t="n">
        <v>1</v>
      </c>
      <c r="M24" s="124" t="n">
        <v>1</v>
      </c>
      <c r="N24" s="125" t="n">
        <v>25</v>
      </c>
      <c r="O24" s="126" t="n"/>
      <c r="P24" s="126" t="n"/>
      <c r="Q24" s="157" t="inlineStr">
        <is>
          <t>AMRAP</t>
        </is>
      </c>
      <c r="R24" s="124" t="n">
        <v>1</v>
      </c>
      <c r="S24" s="124" t="n">
        <v>1</v>
      </c>
      <c r="T24" s="125" t="n">
        <v>25</v>
      </c>
      <c r="U24" s="126" t="n"/>
      <c r="V24" s="126" t="n"/>
      <c r="W24" s="157" t="inlineStr">
        <is>
          <t>AMRAP</t>
        </is>
      </c>
      <c r="X24" s="124" t="n">
        <v>1</v>
      </c>
      <c r="Y24" s="124" t="n">
        <v>1</v>
      </c>
      <c r="Z24" s="125" t="n">
        <v>25</v>
      </c>
      <c r="AA24" s="126" t="n"/>
      <c r="AB24" s="126" t="n"/>
      <c r="AC24" s="32" t="n"/>
    </row>
    <row r="25" hidden="1" ht="15.75" customHeight="1">
      <c r="C25" s="77" t="n"/>
      <c r="D25" s="79" t="inlineStr">
        <is>
          <t>Volume totale:</t>
        </is>
      </c>
      <c r="E25" s="322">
        <f t="array" ref="E25">SUMPRODUCT((E21:E23*F21:F23)*G21:G23)</f>
        <v/>
      </c>
      <c r="H25" s="337" t="n"/>
      <c r="I25" s="321" t="n"/>
      <c r="J25" s="321" t="n"/>
      <c r="K25" s="322">
        <f t="array" ref="K25">SUMPRODUCT((K21:K23*L21:L23)*M21:M23)</f>
        <v/>
      </c>
      <c r="N25" s="337" t="n"/>
      <c r="O25" s="321" t="n"/>
      <c r="P25" s="321" t="n"/>
      <c r="Q25" s="322">
        <f t="array" ref="Q25">SUMPRODUCT((Q21:Q23*R21:R23)*S21:S23)</f>
        <v/>
      </c>
      <c r="T25" s="337" t="n"/>
      <c r="U25" s="321" t="n"/>
      <c r="V25" s="321" t="n"/>
      <c r="W25" s="322">
        <f t="array" ref="W25">SUMPRODUCT((W21:W23*X21:X23)*Y21:Y23)</f>
        <v/>
      </c>
      <c r="Z25" s="337" t="n"/>
      <c r="AA25" s="321" t="n"/>
      <c r="AB25" s="321" t="n"/>
      <c r="AC25" s="32" t="n"/>
    </row>
    <row r="26" hidden="1" ht="15.6" customHeight="1">
      <c r="C26" s="77" t="n"/>
      <c r="D26" s="79" t="n"/>
      <c r="E26" s="80" t="n"/>
      <c r="F26" s="321" t="n"/>
      <c r="G26" s="321" t="n"/>
      <c r="H26" s="322" t="n"/>
      <c r="I26" s="321" t="n"/>
      <c r="J26" s="321" t="n"/>
      <c r="K26" s="321" t="n"/>
      <c r="L26" s="321" t="n"/>
      <c r="M26" s="321" t="n"/>
      <c r="N26" s="322" t="n"/>
      <c r="O26" s="321" t="n"/>
      <c r="P26" s="321" t="n"/>
      <c r="Q26" s="321" t="n"/>
      <c r="R26" s="321" t="n"/>
      <c r="S26" s="321" t="n"/>
      <c r="T26" s="322" t="n"/>
      <c r="U26" s="321" t="n"/>
      <c r="V26" s="321" t="n"/>
      <c r="W26" s="80" t="n"/>
      <c r="X26" s="321" t="n"/>
      <c r="Y26" s="321" t="n"/>
      <c r="Z26" s="322" t="n"/>
      <c r="AA26" s="321" t="n"/>
      <c r="AB26" s="321" t="n"/>
      <c r="AC26" s="47" t="n"/>
    </row>
    <row r="27" hidden="1" ht="15.6" customHeight="1">
      <c r="C27" s="77" t="n"/>
      <c r="D27" s="79" t="inlineStr">
        <is>
          <t xml:space="preserve">Recupero:  </t>
        </is>
      </c>
      <c r="E27" s="315" t="inlineStr">
        <is>
          <t xml:space="preserve"> Tra le ripetizioni 12"							</t>
        </is>
      </c>
      <c r="H27" s="337" t="n"/>
      <c r="I27" s="316" t="n"/>
      <c r="J27" s="316" t="n"/>
      <c r="K27" s="315" t="inlineStr">
        <is>
          <t xml:space="preserve"> Tra le ripetizioni 12"							</t>
        </is>
      </c>
      <c r="N27" s="337" t="n"/>
      <c r="O27" s="316" t="n"/>
      <c r="P27" s="316" t="n"/>
      <c r="Q27" s="315" t="inlineStr">
        <is>
          <t xml:space="preserve"> Tra le ripetizioni 12"							</t>
        </is>
      </c>
      <c r="T27" s="337" t="n"/>
      <c r="U27" s="316" t="n"/>
      <c r="V27" s="316" t="n"/>
      <c r="W27" s="315" t="inlineStr">
        <is>
          <t xml:space="preserve"> Tra le ripetizioni 12"							</t>
        </is>
      </c>
      <c r="Z27" s="337" t="n"/>
      <c r="AA27" s="314" t="n"/>
      <c r="AB27" s="314" t="n"/>
      <c r="AC27" s="36" t="n"/>
    </row>
    <row r="28" hidden="1" ht="15.6" customHeight="1">
      <c r="C28" s="77" t="n"/>
      <c r="D28" s="79" t="n"/>
      <c r="E28" s="317" t="inlineStr">
        <is>
          <t xml:space="preserve"> Tra le serie 2'+</t>
        </is>
      </c>
      <c r="H28" s="337" t="n"/>
      <c r="I28" s="316" t="n"/>
      <c r="J28" s="316" t="n"/>
      <c r="K28" s="317" t="inlineStr">
        <is>
          <t xml:space="preserve"> Tra le serie 2'+</t>
        </is>
      </c>
      <c r="N28" s="337" t="n"/>
      <c r="O28" s="316" t="n"/>
      <c r="P28" s="316" t="n"/>
      <c r="Q28" s="317" t="inlineStr">
        <is>
          <t xml:space="preserve"> Tra le serie 2'+</t>
        </is>
      </c>
      <c r="T28" s="337" t="n"/>
      <c r="U28" s="316" t="n"/>
      <c r="V28" s="316" t="n"/>
      <c r="W28" s="317" t="inlineStr">
        <is>
          <t xml:space="preserve"> Tra le serie 2'+</t>
        </is>
      </c>
      <c r="Z28" s="337" t="n"/>
      <c r="AA28" s="316" t="n"/>
      <c r="AB28" s="316" t="n"/>
      <c r="AC28" s="36" t="n"/>
    </row>
    <row r="29" hidden="1" ht="15.75" customHeight="1">
      <c r="C29" s="77" t="n"/>
      <c r="D29" s="80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8" t="n"/>
    </row>
    <row r="30" hidden="1" ht="15.75" customHeight="1">
      <c r="C30" s="77" t="n"/>
      <c r="D30" s="80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8" t="n"/>
    </row>
    <row r="31" hidden="1" ht="15.75" customHeight="1">
      <c r="C31" s="77" t="n"/>
      <c r="D31" s="80" t="inlineStr">
        <is>
          <t xml:space="preserve">1RM stacco da terra </t>
        </is>
      </c>
      <c r="E31" s="37" t="n">
        <v>48</v>
      </c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8" t="n"/>
    </row>
    <row r="32" hidden="1" ht="15.75" customHeight="1">
      <c r="C32" s="77" t="n"/>
      <c r="D32" s="80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8" t="n"/>
    </row>
    <row r="33" hidden="1">
      <c r="C33" s="77" t="n"/>
      <c r="D33" s="311" t="inlineStr">
        <is>
          <t>Esegui le sospensioni senza arrivare mai allo sfinimento (tranne nell'AMRAP), nel caso siano facili aumenta la zavorra</t>
        </is>
      </c>
      <c r="X33" s="39" t="n"/>
      <c r="Y33" s="39" t="n"/>
      <c r="Z33" s="39" t="n"/>
      <c r="AA33" s="39" t="n"/>
      <c r="AB33" s="39" t="n"/>
      <c r="AC33" s="40" t="n"/>
    </row>
    <row r="34" hidden="1" ht="14.45" customHeight="1">
      <c r="C34" s="77" t="n"/>
      <c r="D34" s="311" t="inlineStr">
        <is>
          <t>Esegui l'AMRAP entrambi i giorni di allenamento recuperando 3' prima di farlo</t>
        </is>
      </c>
      <c r="L34" s="311" t="n"/>
      <c r="M34" s="311" t="n"/>
      <c r="N34" s="311" t="n"/>
      <c r="O34" s="311" t="n"/>
      <c r="P34" s="311" t="n"/>
      <c r="Q34" s="311" t="n"/>
      <c r="R34" s="311" t="n"/>
      <c r="S34" s="311" t="n"/>
      <c r="T34" s="311" t="n"/>
      <c r="U34" s="311" t="n"/>
      <c r="V34" s="311" t="n"/>
      <c r="W34" s="311" t="n"/>
      <c r="X34" s="39" t="n"/>
      <c r="Y34" s="39" t="n"/>
      <c r="Z34" s="39" t="n"/>
      <c r="AA34" s="39" t="n"/>
      <c r="AB34" s="39" t="n"/>
      <c r="AC34" s="40" t="n"/>
    </row>
    <row r="35" hidden="1" ht="15.75" customHeight="1" thickBot="1">
      <c r="C35" s="81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313" t="n">
        <v>45447</v>
      </c>
      <c r="Z35" s="9" t="n"/>
      <c r="AA35" s="9" t="n"/>
      <c r="AB35" s="9" t="n"/>
      <c r="AC35" s="338" t="n"/>
    </row>
    <row r="36" hidden="1" ht="15.75" customHeight="1" thickTop="1">
      <c r="C36" s="12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12" t="n"/>
      <c r="X36" s="12" t="n"/>
      <c r="Y36" s="12" t="n"/>
      <c r="Z36" s="12" t="n"/>
      <c r="AA36" s="12" t="n"/>
      <c r="AB36" s="12" t="n"/>
      <c r="AC36" s="12" t="n"/>
    </row>
    <row r="37">
      <c r="C37" s="12" t="n"/>
      <c r="D37" s="1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12" t="n"/>
      <c r="X37" s="12" t="n"/>
      <c r="Y37" s="12" t="n"/>
      <c r="Z37" s="12" t="n"/>
      <c r="AA37" s="12" t="n"/>
      <c r="AB37" s="12" t="n"/>
      <c r="AC37" s="12" t="n"/>
    </row>
    <row r="38" ht="15.6" customHeight="1">
      <c r="C38" s="326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 hidden="1" ht="15.6" customHeight="1" thickBot="1">
      <c r="C39" s="24" t="inlineStr">
        <is>
          <t>WEEK 5-8</t>
        </is>
      </c>
      <c r="D39" s="80" t="n"/>
      <c r="E39" s="12" t="n"/>
      <c r="F39" s="12" t="n"/>
      <c r="G39" s="26" t="n"/>
      <c r="H39" s="26" t="n"/>
      <c r="I39" s="122" t="n"/>
      <c r="J39" s="122" t="n"/>
      <c r="K39" s="12" t="n"/>
      <c r="L39" s="283">
        <f>$L$3</f>
        <v/>
      </c>
      <c r="M39" s="9" t="n"/>
      <c r="N39" s="27" t="n"/>
      <c r="O39" s="27" t="n"/>
      <c r="P39" s="27" t="n"/>
      <c r="Q39" s="27" t="n"/>
      <c r="R39" s="12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305">
        <f>$AC$3</f>
        <v/>
      </c>
    </row>
    <row r="40" hidden="1" ht="40.9" customHeight="1" thickBot="1" thickTop="1">
      <c r="C40" s="296" t="n"/>
      <c r="D40" s="333" t="n"/>
      <c r="E40" s="333" t="n"/>
      <c r="F40" s="333" t="n"/>
      <c r="G40" s="333" t="n"/>
      <c r="H40" s="333" t="n"/>
      <c r="I40" s="333" t="n"/>
      <c r="J40" s="333" t="n"/>
      <c r="K40" s="333" t="n"/>
      <c r="L40" s="333" t="n"/>
      <c r="M40" s="333" t="n"/>
      <c r="N40" s="333" t="n"/>
      <c r="O40" s="333" t="n"/>
      <c r="P40" s="333" t="n"/>
      <c r="Q40" s="333" t="n"/>
      <c r="R40" s="333" t="n"/>
      <c r="S40" s="333" t="n"/>
      <c r="T40" s="333" t="n"/>
      <c r="U40" s="333" t="n"/>
      <c r="V40" s="333" t="n"/>
      <c r="W40" s="333" t="n"/>
      <c r="X40" s="333" t="n"/>
      <c r="Y40" s="333" t="n"/>
      <c r="Z40" s="324">
        <f>$AC$4</f>
        <v/>
      </c>
      <c r="AA40" s="333" t="n"/>
      <c r="AB40" s="333" t="n"/>
      <c r="AC40" s="335" t="n"/>
    </row>
    <row r="41" hidden="1" ht="18" customHeight="1" thickBot="1" thickTop="1">
      <c r="C41" s="334" t="inlineStr">
        <is>
          <t>2024_07_SOSPENSIONI</t>
        </is>
      </c>
      <c r="D41" s="333" t="n"/>
      <c r="E41" s="333" t="n"/>
      <c r="F41" s="333" t="n"/>
      <c r="G41" s="333" t="n"/>
      <c r="H41" s="333" t="n"/>
      <c r="I41" s="333" t="n"/>
      <c r="J41" s="333" t="n"/>
      <c r="K41" s="333" t="n"/>
      <c r="L41" s="333" t="n"/>
      <c r="M41" s="333" t="n"/>
      <c r="N41" s="333" t="n"/>
      <c r="O41" s="333" t="n"/>
      <c r="P41" s="333" t="n"/>
      <c r="Q41" s="333" t="n"/>
      <c r="R41" s="333" t="n"/>
      <c r="S41" s="333" t="n"/>
      <c r="T41" s="333" t="n"/>
      <c r="U41" s="333" t="n"/>
      <c r="V41" s="333" t="n"/>
      <c r="W41" s="333" t="n"/>
      <c r="X41" s="333" t="n"/>
      <c r="Y41" s="333" t="n"/>
      <c r="Z41" s="333" t="n"/>
      <c r="AA41" s="333" t="n"/>
      <c r="AB41" s="333" t="n"/>
      <c r="AC41" s="335" t="n"/>
    </row>
    <row r="42" hidden="1" ht="15.75" customHeight="1" thickTop="1">
      <c r="C42" s="74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6" t="n"/>
    </row>
    <row r="43" hidden="1" ht="15.75" customHeight="1">
      <c r="C43" s="77" t="n"/>
      <c r="D43" s="80" t="inlineStr">
        <is>
          <t>FORZA</t>
        </is>
      </c>
      <c r="E43" s="319" t="inlineStr">
        <is>
          <t>Wk 5</t>
        </is>
      </c>
      <c r="H43" s="336" t="n"/>
      <c r="I43" s="319" t="n"/>
      <c r="J43" s="319" t="n"/>
      <c r="K43" s="319" t="inlineStr">
        <is>
          <t>Wk 6</t>
        </is>
      </c>
      <c r="N43" s="336" t="n"/>
      <c r="O43" s="319" t="n"/>
      <c r="P43" s="319" t="n"/>
      <c r="Q43" s="319" t="inlineStr">
        <is>
          <t>Wk 7</t>
        </is>
      </c>
      <c r="T43" s="336" t="n"/>
      <c r="U43" s="319" t="n"/>
      <c r="V43" s="319" t="n"/>
      <c r="W43" s="319" t="inlineStr">
        <is>
          <t>Wk 8</t>
        </is>
      </c>
      <c r="Z43" s="336" t="n"/>
      <c r="AA43" s="80" t="n"/>
      <c r="AB43" s="80" t="n"/>
      <c r="AC43" s="47" t="n"/>
    </row>
    <row r="44" hidden="1" ht="15.75" customHeight="1">
      <c r="C44" s="77" t="n"/>
      <c r="D44" s="73" t="inlineStr">
        <is>
          <t>Esercizio</t>
        </is>
      </c>
      <c r="E44" s="94" t="inlineStr">
        <is>
          <t>TEMPO</t>
        </is>
      </c>
      <c r="F44" s="33" t="inlineStr">
        <is>
          <t>REP</t>
        </is>
      </c>
      <c r="G44" s="94" t="inlineStr">
        <is>
          <t>SET</t>
        </is>
      </c>
      <c r="H44" s="72" t="inlineStr">
        <is>
          <t>CARICO</t>
        </is>
      </c>
      <c r="I44" s="121" t="inlineStr">
        <is>
          <t>Rest</t>
        </is>
      </c>
      <c r="J44" s="121" t="inlineStr">
        <is>
          <t>TUT es</t>
        </is>
      </c>
      <c r="K44" s="94" t="inlineStr">
        <is>
          <t>TEMPO</t>
        </is>
      </c>
      <c r="L44" s="33" t="inlineStr">
        <is>
          <t>REP</t>
        </is>
      </c>
      <c r="M44" s="94" t="inlineStr">
        <is>
          <t>SET</t>
        </is>
      </c>
      <c r="N44" s="72" t="inlineStr">
        <is>
          <t>CARICO</t>
        </is>
      </c>
      <c r="O44" s="121" t="inlineStr">
        <is>
          <t>Rest</t>
        </is>
      </c>
      <c r="P44" s="121" t="inlineStr">
        <is>
          <t>TUT es</t>
        </is>
      </c>
      <c r="Q44" s="94" t="inlineStr">
        <is>
          <t>TEMPO</t>
        </is>
      </c>
      <c r="R44" s="33" t="inlineStr">
        <is>
          <t>REP</t>
        </is>
      </c>
      <c r="S44" s="94" t="inlineStr">
        <is>
          <t>SET</t>
        </is>
      </c>
      <c r="T44" s="72" t="inlineStr">
        <is>
          <t>CARICO</t>
        </is>
      </c>
      <c r="U44" s="121" t="inlineStr">
        <is>
          <t>Rest</t>
        </is>
      </c>
      <c r="V44" s="121" t="inlineStr">
        <is>
          <t>TUT es</t>
        </is>
      </c>
      <c r="W44" s="94" t="inlineStr">
        <is>
          <t>TEMPO</t>
        </is>
      </c>
      <c r="X44" s="33" t="inlineStr">
        <is>
          <t>REP</t>
        </is>
      </c>
      <c r="Y44" s="94" t="inlineStr">
        <is>
          <t>SET</t>
        </is>
      </c>
      <c r="Z44" s="72" t="inlineStr">
        <is>
          <t>CARICO</t>
        </is>
      </c>
      <c r="AA44" s="121" t="inlineStr">
        <is>
          <t>Rest</t>
        </is>
      </c>
      <c r="AB44" s="121" t="inlineStr">
        <is>
          <t>TUT es</t>
        </is>
      </c>
      <c r="AC44" s="32" t="n"/>
    </row>
    <row r="45" hidden="1" ht="16.15" customHeight="1">
      <c r="C45" s="77" t="n"/>
      <c r="D45" s="78" t="inlineStr">
        <is>
          <t>Stacco da terra 20mm</t>
        </is>
      </c>
      <c r="E45" s="93" t="inlineStr">
        <is>
          <t>X</t>
        </is>
      </c>
      <c r="F45" s="34" t="n">
        <v>1</v>
      </c>
      <c r="G45" s="93" t="n">
        <v>1</v>
      </c>
      <c r="H45" s="222" t="inlineStr">
        <is>
          <t>RPE6</t>
        </is>
      </c>
      <c r="I45" s="321" t="n"/>
      <c r="J45" s="321">
        <f>(E45*F45)+(F45*I45)</f>
        <v/>
      </c>
      <c r="K45" s="93" t="inlineStr">
        <is>
          <t>X</t>
        </is>
      </c>
      <c r="L45" s="34" t="n">
        <v>1</v>
      </c>
      <c r="M45" s="93" t="n">
        <v>1</v>
      </c>
      <c r="N45" s="222" t="inlineStr">
        <is>
          <t>RPE7</t>
        </is>
      </c>
      <c r="O45">
        <f>$I45</f>
        <v/>
      </c>
      <c r="P45" s="321">
        <f>(K45*L45)+(L45*O45)</f>
        <v/>
      </c>
      <c r="Q45" s="93" t="inlineStr">
        <is>
          <t>X</t>
        </is>
      </c>
      <c r="R45" s="34" t="n">
        <v>1</v>
      </c>
      <c r="S45" s="93" t="n">
        <v>1</v>
      </c>
      <c r="T45" s="222" t="inlineStr">
        <is>
          <t>RPE8</t>
        </is>
      </c>
      <c r="U45">
        <f>$I45</f>
        <v/>
      </c>
      <c r="V45" s="321">
        <f>(Q45*R45)+(R45*U45)</f>
        <v/>
      </c>
      <c r="W45" s="93" t="inlineStr">
        <is>
          <t>SKIP</t>
        </is>
      </c>
      <c r="X45" s="34" t="n"/>
      <c r="Y45" s="93" t="n"/>
      <c r="Z45" s="222" t="n"/>
      <c r="AA45">
        <f>$I45</f>
        <v/>
      </c>
      <c r="AB45" s="321">
        <f>(W45*X45)+(X45*AA45)</f>
        <v/>
      </c>
      <c r="AC45" s="32" t="n"/>
      <c r="AD45" s="24" t="n"/>
      <c r="AE45" s="24" t="n"/>
      <c r="AF45" s="24" t="n"/>
    </row>
    <row r="46" hidden="1" ht="16.15" customHeight="1">
      <c r="C46" s="77" t="n"/>
      <c r="D46" s="78" t="n"/>
      <c r="E46" s="93" t="inlineStr">
        <is>
          <t>X</t>
        </is>
      </c>
      <c r="F46" s="34" t="n">
        <v>3</v>
      </c>
      <c r="G46" s="93" t="n">
        <v>2</v>
      </c>
      <c r="H46" s="222" t="inlineStr">
        <is>
          <t>38-41</t>
        </is>
      </c>
      <c r="I46" s="321" t="n"/>
      <c r="J46" s="321" t="n"/>
      <c r="K46" s="93" t="inlineStr">
        <is>
          <t>X</t>
        </is>
      </c>
      <c r="L46" s="34" t="n">
        <v>4</v>
      </c>
      <c r="M46" s="93" t="n">
        <v>2</v>
      </c>
      <c r="N46" s="222" t="inlineStr">
        <is>
          <t>38-41</t>
        </is>
      </c>
      <c r="P46" s="321" t="n"/>
      <c r="Q46" s="93" t="inlineStr">
        <is>
          <t>X</t>
        </is>
      </c>
      <c r="R46" s="34" t="n">
        <v>5</v>
      </c>
      <c r="S46" s="93" t="n">
        <v>2</v>
      </c>
      <c r="T46" s="222" t="inlineStr">
        <is>
          <t>38-41</t>
        </is>
      </c>
      <c r="V46" s="321" t="n"/>
      <c r="W46" s="93" t="n"/>
      <c r="X46" s="34" t="n"/>
      <c r="Y46" s="93" t="n"/>
      <c r="Z46" s="127" t="n"/>
      <c r="AB46" s="321" t="n"/>
      <c r="AC46" s="32" t="n"/>
      <c r="AD46" s="24" t="n"/>
      <c r="AE46" s="24" t="n"/>
      <c r="AF46" s="24" t="n"/>
    </row>
    <row r="47" hidden="1" ht="15.75" customHeight="1">
      <c r="C47" s="77" t="n"/>
      <c r="D47" s="123" t="inlineStr">
        <is>
          <t>Sospensioni 3 dita stese</t>
        </is>
      </c>
      <c r="E47" s="124" t="n">
        <v>5</v>
      </c>
      <c r="F47" s="124" t="n">
        <v>3</v>
      </c>
      <c r="G47" s="124" t="n">
        <v>2</v>
      </c>
      <c r="H47" s="130" t="n"/>
      <c r="I47" s="126" t="n"/>
      <c r="J47" s="126">
        <f>(E47*F47)+(F47*I47)</f>
        <v/>
      </c>
      <c r="K47" s="124" t="n">
        <v>5</v>
      </c>
      <c r="L47" s="124" t="n">
        <v>3</v>
      </c>
      <c r="M47" s="124" t="n">
        <v>3</v>
      </c>
      <c r="N47" s="130" t="n"/>
      <c r="O47" s="129">
        <f>$I47</f>
        <v/>
      </c>
      <c r="P47" s="126">
        <f>(K47*L47)+(L47*O47)</f>
        <v/>
      </c>
      <c r="Q47" s="124" t="n">
        <v>6</v>
      </c>
      <c r="R47" s="124" t="n">
        <v>3</v>
      </c>
      <c r="S47" s="124" t="n">
        <v>3</v>
      </c>
      <c r="T47" s="130" t="n"/>
      <c r="U47" s="129">
        <f>$I47</f>
        <v/>
      </c>
      <c r="V47" s="126">
        <f>(Q47*R47)+(R47*U47)</f>
        <v/>
      </c>
      <c r="W47" s="124" t="n">
        <v>6</v>
      </c>
      <c r="X47" s="124" t="n">
        <v>3</v>
      </c>
      <c r="Y47" s="124" t="n">
        <v>2</v>
      </c>
      <c r="Z47" s="130" t="n"/>
      <c r="AA47" s="129">
        <f>$I47</f>
        <v/>
      </c>
      <c r="AB47" s="126">
        <f>(W47*X47)+(X47*AA47)</f>
        <v/>
      </c>
      <c r="AC47" s="32" t="n"/>
      <c r="AD47" s="7" t="n"/>
    </row>
    <row r="48" hidden="1" ht="15.75" customHeight="1">
      <c r="C48" s="77" t="n"/>
      <c r="D48" s="78" t="inlineStr">
        <is>
          <t>Sospensioni svase</t>
        </is>
      </c>
      <c r="E48" s="321" t="n">
        <v>7</v>
      </c>
      <c r="F48" s="93" t="n">
        <v>2</v>
      </c>
      <c r="G48" s="93" t="n">
        <v>2</v>
      </c>
      <c r="H48" s="127" t="n"/>
      <c r="I48" s="321" t="n"/>
      <c r="J48" s="321">
        <f>(E48*F48)+(F48*I48)</f>
        <v/>
      </c>
      <c r="K48" s="321" t="n">
        <v>7</v>
      </c>
      <c r="L48" s="93" t="n">
        <v>2</v>
      </c>
      <c r="M48" s="93" t="n">
        <v>3</v>
      </c>
      <c r="N48" s="127" t="n"/>
      <c r="O48">
        <f>$I48</f>
        <v/>
      </c>
      <c r="P48" s="321">
        <f>(K48*L48)+(L48*O48)</f>
        <v/>
      </c>
      <c r="Q48" s="321" t="n">
        <v>7</v>
      </c>
      <c r="R48" s="93" t="n">
        <v>2</v>
      </c>
      <c r="S48" s="93" t="n">
        <v>3</v>
      </c>
      <c r="T48" s="127" t="n"/>
      <c r="U48">
        <f>$I48</f>
        <v/>
      </c>
      <c r="V48" s="321">
        <f>(Q48*R48)+(R48*U48)</f>
        <v/>
      </c>
      <c r="W48" s="321" t="n">
        <v>7</v>
      </c>
      <c r="X48" s="93" t="n">
        <v>2</v>
      </c>
      <c r="Y48" s="93" t="n">
        <v>2</v>
      </c>
      <c r="Z48" s="127" t="n"/>
      <c r="AA48">
        <f>$I48</f>
        <v/>
      </c>
      <c r="AB48" s="321">
        <f>(W48*X48)+(X48*AA48)</f>
        <v/>
      </c>
      <c r="AC48" s="32" t="n"/>
    </row>
    <row r="49" hidden="1" ht="15.75" customHeight="1">
      <c r="C49" s="77" t="n"/>
      <c r="D49" s="123" t="inlineStr">
        <is>
          <t>Sospensione due mani 20mm</t>
        </is>
      </c>
      <c r="E49" s="157" t="inlineStr">
        <is>
          <t>AMRAP</t>
        </is>
      </c>
      <c r="F49" s="124" t="n">
        <v>1</v>
      </c>
      <c r="G49" s="124" t="n">
        <v>1</v>
      </c>
      <c r="H49" s="125" t="n">
        <v>25</v>
      </c>
      <c r="I49" s="126" t="n"/>
      <c r="J49" s="126" t="n"/>
      <c r="K49" s="157" t="inlineStr">
        <is>
          <t>AMRAP</t>
        </is>
      </c>
      <c r="L49" s="124" t="n">
        <v>1</v>
      </c>
      <c r="M49" s="124" t="n">
        <v>1</v>
      </c>
      <c r="N49" s="125" t="n">
        <v>25</v>
      </c>
      <c r="O49" s="126" t="n"/>
      <c r="P49" s="126" t="n"/>
      <c r="Q49" s="157" t="inlineStr">
        <is>
          <t>AMRAP</t>
        </is>
      </c>
      <c r="R49" s="124" t="n">
        <v>1</v>
      </c>
      <c r="S49" s="124" t="n">
        <v>1</v>
      </c>
      <c r="T49" s="125" t="n">
        <v>25</v>
      </c>
      <c r="U49" s="126" t="n"/>
      <c r="V49" s="126" t="n"/>
      <c r="W49" s="157" t="inlineStr">
        <is>
          <t>AMRAP</t>
        </is>
      </c>
      <c r="X49" s="124" t="n">
        <v>1</v>
      </c>
      <c r="Y49" s="124" t="n">
        <v>1</v>
      </c>
      <c r="Z49" s="125" t="n">
        <v>25</v>
      </c>
      <c r="AA49" s="126" t="n"/>
      <c r="AB49" s="126" t="n"/>
      <c r="AC49" s="32" t="n"/>
    </row>
    <row r="50" hidden="1" ht="15.75" customHeight="1">
      <c r="C50" s="77" t="n"/>
      <c r="D50" s="79" t="inlineStr">
        <is>
          <t>Volume totale:</t>
        </is>
      </c>
      <c r="E50" s="322">
        <f t="array" ref="E50">SUMPRODUCT((E45:E48*F45:F48)*G45:G48)</f>
        <v/>
      </c>
      <c r="H50" s="337" t="n"/>
      <c r="I50" s="321" t="n"/>
      <c r="J50" s="321" t="n"/>
      <c r="K50" s="322">
        <f t="array" ref="K50">SUMPRODUCT((K45:K48*L45:L48)*M45:M48)</f>
        <v/>
      </c>
      <c r="N50" s="337" t="n"/>
      <c r="O50" s="321" t="n"/>
      <c r="P50" s="321" t="n"/>
      <c r="Q50" s="322">
        <f t="array" ref="Q50">SUMPRODUCT((Q45:Q48*R45:R48)*S45:S48)</f>
        <v/>
      </c>
      <c r="T50" s="337" t="n"/>
      <c r="U50" s="321" t="n"/>
      <c r="V50" s="321" t="n"/>
      <c r="W50" s="322">
        <f t="array" ref="W50">SUMPRODUCT((W45:W48*X45:X48)*Y45:Y48)</f>
        <v/>
      </c>
      <c r="Z50" s="337" t="n"/>
      <c r="AA50" s="321" t="n"/>
      <c r="AB50" s="321" t="n"/>
      <c r="AC50" s="32" t="n"/>
    </row>
    <row r="51" hidden="1" ht="15.6" customHeight="1">
      <c r="C51" s="77" t="n"/>
      <c r="D51" s="79" t="n"/>
      <c r="E51" s="80" t="n"/>
      <c r="F51" s="321" t="n"/>
      <c r="G51" s="321" t="n"/>
      <c r="H51" s="322" t="n"/>
      <c r="I51" s="321" t="n"/>
      <c r="J51" s="321" t="n"/>
      <c r="K51" s="321" t="n"/>
      <c r="L51" s="321" t="n"/>
      <c r="M51" s="321" t="n"/>
      <c r="N51" s="322" t="n"/>
      <c r="O51" s="321" t="n"/>
      <c r="P51" s="321" t="n"/>
      <c r="Q51" s="321" t="n"/>
      <c r="R51" s="321" t="n"/>
      <c r="S51" s="321" t="n"/>
      <c r="T51" s="322" t="n"/>
      <c r="U51" s="321" t="n"/>
      <c r="V51" s="321" t="n"/>
      <c r="W51" s="80" t="n"/>
      <c r="X51" s="321" t="n"/>
      <c r="Y51" s="321" t="n"/>
      <c r="Z51" s="322" t="n"/>
      <c r="AA51" s="321" t="n"/>
      <c r="AB51" s="321" t="n"/>
      <c r="AC51" s="47" t="n"/>
    </row>
    <row r="52" hidden="1" ht="15.6" customHeight="1">
      <c r="C52" s="77" t="n"/>
      <c r="D52" s="79" t="inlineStr">
        <is>
          <t xml:space="preserve">Recupero:  </t>
        </is>
      </c>
      <c r="E52" s="315" t="inlineStr">
        <is>
          <t xml:space="preserve"> Tra le ripetizioni 12" - No tra stacchi					</t>
        </is>
      </c>
      <c r="H52" s="337" t="n"/>
      <c r="I52" s="316" t="n"/>
      <c r="J52" s="316" t="n"/>
      <c r="K52" s="315" t="inlineStr">
        <is>
          <t xml:space="preserve"> Tra le ripetizioni 12" - No tra stacchi					</t>
        </is>
      </c>
      <c r="N52" s="337" t="n"/>
      <c r="O52" s="316" t="n"/>
      <c r="P52" s="316" t="n"/>
      <c r="Q52" s="315" t="inlineStr">
        <is>
          <t xml:space="preserve"> Tra le ripetizioni 12" - No tra stacchi					</t>
        </is>
      </c>
      <c r="T52" s="337" t="n"/>
      <c r="U52" s="316" t="n"/>
      <c r="V52" s="316" t="n"/>
      <c r="W52" s="315" t="inlineStr">
        <is>
          <t xml:space="preserve"> Tra le ripetizioni 12" - No tra stacchi					</t>
        </is>
      </c>
      <c r="Z52" s="337" t="n"/>
      <c r="AA52" s="314" t="n"/>
      <c r="AB52" s="314" t="n"/>
      <c r="AC52" s="36" t="n"/>
    </row>
    <row r="53" hidden="1" ht="15.6" customHeight="1">
      <c r="C53" s="77" t="n"/>
      <c r="D53" s="79" t="n"/>
      <c r="E53" s="317" t="inlineStr">
        <is>
          <t xml:space="preserve"> Tra le serie 2'+</t>
        </is>
      </c>
      <c r="H53" s="337" t="n"/>
      <c r="I53" s="316" t="n"/>
      <c r="J53" s="316" t="n"/>
      <c r="K53" s="317" t="inlineStr">
        <is>
          <t xml:space="preserve"> Tra le serie 2'+</t>
        </is>
      </c>
      <c r="N53" s="337" t="n"/>
      <c r="O53" s="316" t="n"/>
      <c r="P53" s="316" t="n"/>
      <c r="Q53" s="317" t="inlineStr">
        <is>
          <t xml:space="preserve"> Tra le serie 2'+</t>
        </is>
      </c>
      <c r="T53" s="337" t="n"/>
      <c r="U53" s="316" t="n"/>
      <c r="V53" s="316" t="n"/>
      <c r="W53" s="317" t="inlineStr">
        <is>
          <t xml:space="preserve"> Tra le serie 2'+</t>
        </is>
      </c>
      <c r="Z53" s="337" t="n"/>
      <c r="AA53" s="316" t="n"/>
      <c r="AB53" s="316" t="n"/>
      <c r="AC53" s="36" t="n"/>
    </row>
    <row r="54" hidden="1" ht="15.75" customHeight="1">
      <c r="C54" s="77" t="n"/>
      <c r="D54" s="79" t="n"/>
      <c r="E54" s="316" t="n"/>
      <c r="F54" s="316" t="n"/>
      <c r="G54" s="316" t="n"/>
      <c r="H54" s="316" t="n"/>
      <c r="I54" s="316" t="n"/>
      <c r="J54" s="316" t="n"/>
      <c r="K54" s="316" t="n"/>
      <c r="L54" s="316" t="n"/>
      <c r="M54" s="316" t="n"/>
      <c r="N54" s="316" t="n"/>
      <c r="O54" s="316" t="n"/>
      <c r="P54" s="316" t="n"/>
      <c r="Q54" s="316" t="n"/>
      <c r="R54" s="316" t="n"/>
      <c r="S54" s="316" t="n"/>
      <c r="T54" s="316" t="n"/>
      <c r="U54" s="316" t="n"/>
      <c r="V54" s="316" t="n"/>
      <c r="W54" s="316" t="n"/>
      <c r="X54" s="316" t="n"/>
      <c r="Y54" s="316" t="n"/>
      <c r="Z54" s="316" t="n"/>
      <c r="AA54" s="316" t="n"/>
      <c r="AB54" s="316" t="n"/>
      <c r="AC54" s="36" t="n"/>
    </row>
    <row r="55" hidden="1" ht="15.75" customHeight="1">
      <c r="C55" s="77" t="n"/>
      <c r="D55" s="24" t="inlineStr">
        <is>
          <t>FORZA</t>
        </is>
      </c>
      <c r="E55" s="319" t="inlineStr">
        <is>
          <t>Wk 5</t>
        </is>
      </c>
      <c r="H55" s="336" t="n"/>
      <c r="I55" s="319" t="n"/>
      <c r="J55" s="319" t="n"/>
      <c r="K55" s="319" t="inlineStr">
        <is>
          <t>Wk 6</t>
        </is>
      </c>
      <c r="N55" s="336" t="n"/>
      <c r="O55" s="319" t="n"/>
      <c r="P55" s="319" t="n"/>
      <c r="Q55" s="319" t="inlineStr">
        <is>
          <t>Wk 7</t>
        </is>
      </c>
      <c r="T55" s="336" t="n"/>
      <c r="U55" s="319" t="n"/>
      <c r="V55" s="319" t="n"/>
      <c r="W55" s="319" t="inlineStr">
        <is>
          <t>Wk 8</t>
        </is>
      </c>
      <c r="Z55" s="336" t="n"/>
      <c r="AA55" s="318" t="n"/>
      <c r="AB55" s="318" t="n"/>
      <c r="AC55" s="32" t="n"/>
    </row>
    <row r="56" hidden="1" ht="15.75" customHeight="1">
      <c r="C56" s="77" t="n"/>
      <c r="D56" s="73" t="inlineStr">
        <is>
          <t>Esercizio</t>
        </is>
      </c>
      <c r="E56" s="94" t="inlineStr">
        <is>
          <t>TEMPO</t>
        </is>
      </c>
      <c r="F56" s="33" t="inlineStr">
        <is>
          <t>REP</t>
        </is>
      </c>
      <c r="G56" s="94" t="inlineStr">
        <is>
          <t>SET</t>
        </is>
      </c>
      <c r="H56" s="72" t="inlineStr">
        <is>
          <t>CARICO</t>
        </is>
      </c>
      <c r="I56" s="121" t="inlineStr">
        <is>
          <t>Rest</t>
        </is>
      </c>
      <c r="J56" s="121" t="inlineStr">
        <is>
          <t>TUT es</t>
        </is>
      </c>
      <c r="K56" s="94" t="inlineStr">
        <is>
          <t>TEMPO</t>
        </is>
      </c>
      <c r="L56" s="33" t="inlineStr">
        <is>
          <t>REP</t>
        </is>
      </c>
      <c r="M56" s="94" t="inlineStr">
        <is>
          <t>SET</t>
        </is>
      </c>
      <c r="N56" s="72" t="inlineStr">
        <is>
          <t>CARICO</t>
        </is>
      </c>
      <c r="O56" s="121" t="inlineStr">
        <is>
          <t>Rest</t>
        </is>
      </c>
      <c r="P56" s="121" t="inlineStr">
        <is>
          <t>TUT es</t>
        </is>
      </c>
      <c r="Q56" s="94" t="inlineStr">
        <is>
          <t>TEMPO</t>
        </is>
      </c>
      <c r="R56" s="33" t="inlineStr">
        <is>
          <t>REP</t>
        </is>
      </c>
      <c r="S56" s="94" t="inlineStr">
        <is>
          <t>SET</t>
        </is>
      </c>
      <c r="T56" s="72" t="inlineStr">
        <is>
          <t>CARICO</t>
        </is>
      </c>
      <c r="U56" s="121" t="inlineStr">
        <is>
          <t>Rest</t>
        </is>
      </c>
      <c r="V56" s="121" t="inlineStr">
        <is>
          <t>TUT es</t>
        </is>
      </c>
      <c r="W56" s="94" t="inlineStr">
        <is>
          <t>TEMPO</t>
        </is>
      </c>
      <c r="X56" s="33" t="inlineStr">
        <is>
          <t>REP</t>
        </is>
      </c>
      <c r="Y56" s="94" t="inlineStr">
        <is>
          <t>SET</t>
        </is>
      </c>
      <c r="Z56" s="72" t="inlineStr">
        <is>
          <t>CARICO</t>
        </is>
      </c>
      <c r="AA56" s="121" t="inlineStr">
        <is>
          <t>Rest</t>
        </is>
      </c>
      <c r="AB56" s="121" t="inlineStr">
        <is>
          <t>TUT es</t>
        </is>
      </c>
      <c r="AC56" s="32" t="n"/>
    </row>
    <row r="57" hidden="1" ht="16.15" customHeight="1">
      <c r="C57" s="77" t="n"/>
      <c r="D57" s="123" t="inlineStr">
        <is>
          <t>Stacco da terra 20mm</t>
        </is>
      </c>
      <c r="E57" s="124" t="inlineStr">
        <is>
          <t>X</t>
        </is>
      </c>
      <c r="F57" s="128" t="n">
        <v>1</v>
      </c>
      <c r="G57" s="124" t="n">
        <v>1</v>
      </c>
      <c r="H57" s="225" t="inlineStr">
        <is>
          <t>RPE6</t>
        </is>
      </c>
      <c r="I57" s="126" t="n"/>
      <c r="J57" s="126">
        <f>(E57*F57)+(F57*I57)</f>
        <v/>
      </c>
      <c r="K57" s="124" t="inlineStr">
        <is>
          <t>X</t>
        </is>
      </c>
      <c r="L57" s="128" t="n">
        <v>1</v>
      </c>
      <c r="M57" s="124" t="n">
        <v>1</v>
      </c>
      <c r="N57" s="225" t="inlineStr">
        <is>
          <t>RPE7</t>
        </is>
      </c>
      <c r="O57" s="129">
        <f>$I57</f>
        <v/>
      </c>
      <c r="P57" s="126">
        <f>(K57*L57)+(L57*O57)</f>
        <v/>
      </c>
      <c r="Q57" s="124" t="inlineStr">
        <is>
          <t>X</t>
        </is>
      </c>
      <c r="R57" s="128" t="n">
        <v>1</v>
      </c>
      <c r="S57" s="124" t="n">
        <v>1</v>
      </c>
      <c r="T57" s="225" t="inlineStr">
        <is>
          <t>RPE8</t>
        </is>
      </c>
      <c r="U57" s="129">
        <f>$I57</f>
        <v/>
      </c>
      <c r="V57" s="126">
        <f>(Q57*R57)+(R57*U57)</f>
        <v/>
      </c>
      <c r="W57" s="124" t="inlineStr">
        <is>
          <t>X</t>
        </is>
      </c>
      <c r="X57" s="128" t="inlineStr">
        <is>
          <t>AMRAP</t>
        </is>
      </c>
      <c r="Y57" s="124" t="n">
        <v>1</v>
      </c>
      <c r="Z57" s="225" t="n">
        <v>44</v>
      </c>
      <c r="AA57">
        <f>$I57</f>
        <v/>
      </c>
      <c r="AB57" s="321">
        <f>(W57*X57)+(X57*AA57)</f>
        <v/>
      </c>
      <c r="AC57" s="32" t="n"/>
      <c r="AD57" s="24" t="n"/>
      <c r="AE57" s="24" t="n"/>
      <c r="AF57" s="24" t="n"/>
    </row>
    <row r="58" hidden="1" ht="16.15" customHeight="1">
      <c r="C58" s="77" t="n"/>
      <c r="D58" s="123" t="n"/>
      <c r="E58" s="124" t="inlineStr">
        <is>
          <t>X</t>
        </is>
      </c>
      <c r="F58" s="128" t="n">
        <v>5</v>
      </c>
      <c r="G58" s="124" t="n">
        <v>2</v>
      </c>
      <c r="H58" s="226" t="inlineStr">
        <is>
          <t>35-38</t>
        </is>
      </c>
      <c r="I58" s="126" t="n"/>
      <c r="J58" s="126" t="n"/>
      <c r="K58" s="124" t="inlineStr">
        <is>
          <t>X</t>
        </is>
      </c>
      <c r="L58" s="128" t="n">
        <v>6</v>
      </c>
      <c r="M58" s="124" t="n">
        <v>2</v>
      </c>
      <c r="N58" s="226" t="inlineStr">
        <is>
          <t>35-38</t>
        </is>
      </c>
      <c r="O58" s="129" t="n"/>
      <c r="P58" s="126" t="n"/>
      <c r="Q58" s="124" t="inlineStr">
        <is>
          <t>X</t>
        </is>
      </c>
      <c r="R58" s="128" t="n">
        <v>7</v>
      </c>
      <c r="S58" s="124" t="n">
        <v>2</v>
      </c>
      <c r="T58" s="226" t="inlineStr">
        <is>
          <t>35-38</t>
        </is>
      </c>
      <c r="U58" s="129" t="n"/>
      <c r="V58" s="126" t="n"/>
      <c r="W58" s="124" t="n"/>
      <c r="X58" s="128" t="n"/>
      <c r="Y58" s="124" t="n"/>
      <c r="Z58" s="130" t="n"/>
      <c r="AB58" s="321" t="n"/>
      <c r="AC58" s="32" t="n"/>
      <c r="AD58" s="24" t="n"/>
      <c r="AE58" s="24" t="n"/>
      <c r="AF58" s="24" t="n"/>
    </row>
    <row r="59" hidden="1" ht="16.15" customHeight="1">
      <c r="C59" s="77" t="n"/>
      <c r="D59" s="78" t="inlineStr">
        <is>
          <t>Stacco da terra dita stese</t>
        </is>
      </c>
      <c r="E59" s="93" t="inlineStr">
        <is>
          <t>X</t>
        </is>
      </c>
      <c r="F59" s="34" t="n">
        <v>6</v>
      </c>
      <c r="G59" s="93" t="n">
        <v>2</v>
      </c>
      <c r="H59" s="127" t="inlineStr">
        <is>
          <t>RPE8</t>
        </is>
      </c>
      <c r="I59" s="321" t="n"/>
      <c r="J59" s="321">
        <f>(E59*F59)+(F59*I59)</f>
        <v/>
      </c>
      <c r="K59" s="93" t="inlineStr">
        <is>
          <t>X</t>
        </is>
      </c>
      <c r="L59" s="34" t="n">
        <v>6</v>
      </c>
      <c r="M59" s="93" t="n">
        <v>3</v>
      </c>
      <c r="N59" s="127" t="inlineStr">
        <is>
          <t>RPE8</t>
        </is>
      </c>
      <c r="O59">
        <f>$I59</f>
        <v/>
      </c>
      <c r="P59" s="321">
        <f>(K59*L59)+(L59*O59)</f>
        <v/>
      </c>
      <c r="Q59" s="93" t="inlineStr">
        <is>
          <t>X</t>
        </is>
      </c>
      <c r="R59" s="34" t="n">
        <v>8</v>
      </c>
      <c r="S59" s="93" t="n">
        <v>3</v>
      </c>
      <c r="T59" s="127" t="inlineStr">
        <is>
          <t>RPE7</t>
        </is>
      </c>
      <c r="U59">
        <f>$I59</f>
        <v/>
      </c>
      <c r="V59" s="321">
        <f>(Q59*R59)+(R59*U59)</f>
        <v/>
      </c>
      <c r="W59" s="93" t="inlineStr">
        <is>
          <t>\</t>
        </is>
      </c>
      <c r="X59" s="34" t="inlineStr">
        <is>
          <t>\</t>
        </is>
      </c>
      <c r="Y59" s="93" t="inlineStr">
        <is>
          <t>\</t>
        </is>
      </c>
      <c r="Z59" s="222" t="inlineStr">
        <is>
          <t>\</t>
        </is>
      </c>
      <c r="AA59">
        <f>$I59</f>
        <v/>
      </c>
      <c r="AB59" s="321">
        <f>(W59*X59)+(X59*AA59)</f>
        <v/>
      </c>
      <c r="AC59" s="32" t="n"/>
      <c r="AD59" s="24" t="n"/>
      <c r="AE59" s="24" t="n"/>
      <c r="AF59" s="24" t="n"/>
    </row>
    <row r="60" hidden="1" ht="15.75" customHeight="1">
      <c r="C60" s="77" t="n"/>
      <c r="D60" s="123" t="inlineStr">
        <is>
          <t>Sospensioni bidito semiarcuate scaricate</t>
        </is>
      </c>
      <c r="E60" s="124" t="n">
        <v>5</v>
      </c>
      <c r="F60" s="124" t="n">
        <v>4</v>
      </c>
      <c r="G60" s="124" t="n">
        <v>2</v>
      </c>
      <c r="H60" s="130" t="n"/>
      <c r="I60" s="126" t="n"/>
      <c r="J60" s="126">
        <f>(E60*F60)+(F60*I60)</f>
        <v/>
      </c>
      <c r="K60" s="124" t="n">
        <v>5</v>
      </c>
      <c r="L60" s="124" t="n">
        <v>4</v>
      </c>
      <c r="M60" s="124" t="n">
        <v>3</v>
      </c>
      <c r="N60" s="130" t="n"/>
      <c r="O60" s="129">
        <f>$I60</f>
        <v/>
      </c>
      <c r="P60" s="126">
        <f>(K60*L60)+(L60*O60)</f>
        <v/>
      </c>
      <c r="Q60" s="124" t="n">
        <v>5</v>
      </c>
      <c r="R60" s="124" t="n">
        <v>4</v>
      </c>
      <c r="S60" s="124" t="n">
        <v>2</v>
      </c>
      <c r="T60" s="130" t="n"/>
      <c r="U60" s="129">
        <f>$I60</f>
        <v/>
      </c>
      <c r="V60" s="126">
        <f>(Q60*R60)+(R60*U60)</f>
        <v/>
      </c>
      <c r="W60" s="124" t="n">
        <v>5</v>
      </c>
      <c r="X60" s="124" t="n">
        <v>3</v>
      </c>
      <c r="Y60" s="124" t="n">
        <v>2</v>
      </c>
      <c r="Z60" s="130" t="n"/>
      <c r="AA60" s="129">
        <f>$I60</f>
        <v/>
      </c>
      <c r="AB60" s="126">
        <f>(W60*X60)+(X60*AA60)</f>
        <v/>
      </c>
      <c r="AC60" s="32" t="n"/>
      <c r="AD60" s="7" t="n"/>
    </row>
    <row r="61" hidden="1" ht="15.75" customHeight="1">
      <c r="C61" s="77" t="n"/>
      <c r="D61" s="78" t="inlineStr">
        <is>
          <t>Sospensioni micros 10mm</t>
        </is>
      </c>
      <c r="E61" s="321" t="n">
        <v>6</v>
      </c>
      <c r="F61" s="93" t="n">
        <v>2</v>
      </c>
      <c r="G61" s="93" t="n">
        <v>2</v>
      </c>
      <c r="H61" s="127" t="n"/>
      <c r="I61" s="321" t="n"/>
      <c r="J61" s="321">
        <f>(E61*F61)+(F61*I61)</f>
        <v/>
      </c>
      <c r="K61" s="321" t="n">
        <v>6</v>
      </c>
      <c r="L61" s="93" t="n">
        <v>2</v>
      </c>
      <c r="M61" s="93" t="n">
        <v>3</v>
      </c>
      <c r="N61" s="127" t="n"/>
      <c r="O61">
        <f>$I61</f>
        <v/>
      </c>
      <c r="P61" s="321">
        <f>(K61*L61)+(L61*O61)</f>
        <v/>
      </c>
      <c r="Q61" s="321" t="n">
        <v>6</v>
      </c>
      <c r="R61" s="93" t="n">
        <v>2</v>
      </c>
      <c r="S61" s="93" t="n">
        <v>3</v>
      </c>
      <c r="T61" s="127" t="n"/>
      <c r="U61">
        <f>$I61</f>
        <v/>
      </c>
      <c r="V61" s="321">
        <f>(Q61*R61)+(R61*U61)</f>
        <v/>
      </c>
      <c r="W61" s="321" t="n">
        <v>6</v>
      </c>
      <c r="X61" s="93" t="n">
        <v>2</v>
      </c>
      <c r="Y61" s="93" t="n">
        <v>2</v>
      </c>
      <c r="Z61" s="127" t="n"/>
      <c r="AA61">
        <f>$I61</f>
        <v/>
      </c>
      <c r="AB61" s="321">
        <f>(W61*X61)+(X61*AA61)</f>
        <v/>
      </c>
      <c r="AC61" s="32" t="n"/>
    </row>
    <row r="62" hidden="1" ht="15.75" customHeight="1">
      <c r="C62" s="77" t="n"/>
      <c r="D62" s="123" t="inlineStr">
        <is>
          <t>Sospensione due mani 20mm</t>
        </is>
      </c>
      <c r="E62" s="157" t="inlineStr">
        <is>
          <t>AMRAP</t>
        </is>
      </c>
      <c r="F62" s="124" t="n">
        <v>1</v>
      </c>
      <c r="G62" s="124" t="n">
        <v>1</v>
      </c>
      <c r="H62" s="125" t="n">
        <v>25</v>
      </c>
      <c r="I62" s="126" t="n"/>
      <c r="J62" s="126" t="n"/>
      <c r="K62" s="157" t="inlineStr">
        <is>
          <t>AMRAP</t>
        </is>
      </c>
      <c r="L62" s="124" t="n">
        <v>1</v>
      </c>
      <c r="M62" s="124" t="n">
        <v>1</v>
      </c>
      <c r="N62" s="125" t="n">
        <v>25</v>
      </c>
      <c r="O62" s="126" t="n"/>
      <c r="P62" s="126" t="n"/>
      <c r="Q62" s="157" t="inlineStr">
        <is>
          <t>AMRAP</t>
        </is>
      </c>
      <c r="R62" s="124" t="n">
        <v>1</v>
      </c>
      <c r="S62" s="124" t="n">
        <v>1</v>
      </c>
      <c r="T62" s="125" t="n">
        <v>25</v>
      </c>
      <c r="U62" s="126" t="n"/>
      <c r="V62" s="126" t="n"/>
      <c r="W62" s="157" t="inlineStr">
        <is>
          <t>AMRAP</t>
        </is>
      </c>
      <c r="X62" s="124" t="n">
        <v>1</v>
      </c>
      <c r="Y62" s="124" t="n">
        <v>1</v>
      </c>
      <c r="Z62" s="125" t="n">
        <v>25</v>
      </c>
      <c r="AA62" s="126" t="n"/>
      <c r="AB62" s="126" t="n"/>
      <c r="AC62" s="32" t="n"/>
    </row>
    <row r="63" hidden="1" ht="15.75" customHeight="1">
      <c r="C63" s="77" t="n"/>
      <c r="D63" s="79" t="inlineStr">
        <is>
          <t>Volume totale:</t>
        </is>
      </c>
      <c r="E63" s="322">
        <f t="array" ref="E63">SUMPRODUCT((E59:E61*F59:F61)*G59:G61)</f>
        <v/>
      </c>
      <c r="H63" s="337" t="n"/>
      <c r="I63" s="321" t="n"/>
      <c r="J63" s="321" t="n"/>
      <c r="K63" s="322">
        <f t="array" ref="K63">SUMPRODUCT((K59:K61*L59:L61)*M59:M61)</f>
        <v/>
      </c>
      <c r="N63" s="337" t="n"/>
      <c r="O63" s="321" t="n"/>
      <c r="P63" s="321" t="n"/>
      <c r="Q63" s="322">
        <f t="array" ref="Q63">SUMPRODUCT((Q59:Q61*R59:R61)*S59:S61)</f>
        <v/>
      </c>
      <c r="T63" s="337" t="n"/>
      <c r="U63" s="321" t="n"/>
      <c r="V63" s="321" t="n"/>
      <c r="W63" s="322">
        <f t="array" ref="W63">SUMPRODUCT((W59:W61*X59:X61)*Y59:Y61)</f>
        <v/>
      </c>
      <c r="Z63" s="337" t="n"/>
      <c r="AA63" s="321" t="n"/>
      <c r="AB63" s="321" t="n"/>
      <c r="AC63" s="32" t="n"/>
    </row>
    <row r="64" hidden="1" ht="15.6" customHeight="1">
      <c r="C64" s="77" t="n"/>
      <c r="D64" s="79" t="n"/>
      <c r="E64" s="80" t="n"/>
      <c r="F64" s="321" t="n"/>
      <c r="G64" s="321" t="n"/>
      <c r="H64" s="322" t="n"/>
      <c r="I64" s="321" t="n"/>
      <c r="J64" s="321" t="n"/>
      <c r="K64" s="321" t="n"/>
      <c r="L64" s="321" t="n"/>
      <c r="M64" s="321" t="n"/>
      <c r="N64" s="322" t="n"/>
      <c r="O64" s="321" t="n"/>
      <c r="P64" s="321" t="n"/>
      <c r="Q64" s="321" t="n"/>
      <c r="R64" s="321" t="n"/>
      <c r="S64" s="321" t="n"/>
      <c r="T64" s="322" t="n"/>
      <c r="U64" s="321" t="n"/>
      <c r="V64" s="321" t="n"/>
      <c r="W64" s="80" t="n"/>
      <c r="X64" s="321" t="n"/>
      <c r="Y64" s="321" t="n"/>
      <c r="Z64" s="322" t="n"/>
      <c r="AA64" s="321" t="n"/>
      <c r="AB64" s="321" t="n"/>
      <c r="AC64" s="47" t="n"/>
    </row>
    <row r="65" hidden="1" ht="15.6" customHeight="1">
      <c r="C65" s="77" t="n"/>
      <c r="D65" s="79" t="inlineStr">
        <is>
          <t xml:space="preserve">Recupero:  </t>
        </is>
      </c>
      <c r="E65" s="315" t="inlineStr">
        <is>
          <t xml:space="preserve"> Tra le ripetizioni 12" - No tra stacchi					</t>
        </is>
      </c>
      <c r="H65" s="337" t="n"/>
      <c r="I65" s="316" t="n"/>
      <c r="J65" s="316" t="n"/>
      <c r="K65" s="315" t="inlineStr">
        <is>
          <t xml:space="preserve"> Tra le ripetizioni 12" - No tra stacchi					</t>
        </is>
      </c>
      <c r="N65" s="337" t="n"/>
      <c r="O65" s="316" t="n"/>
      <c r="P65" s="316" t="n"/>
      <c r="Q65" s="315" t="inlineStr">
        <is>
          <t xml:space="preserve"> Tra le ripetizioni 12" - No tra stacchi					</t>
        </is>
      </c>
      <c r="T65" s="337" t="n"/>
      <c r="U65" s="316" t="n"/>
      <c r="V65" s="316" t="n"/>
      <c r="W65" s="315" t="inlineStr">
        <is>
          <t xml:space="preserve"> Tra le ripetizioni 12" - No tra stacchi					</t>
        </is>
      </c>
      <c r="Z65" s="337" t="n"/>
      <c r="AA65" s="314" t="n"/>
      <c r="AB65" s="314" t="n"/>
      <c r="AC65" s="36" t="n"/>
    </row>
    <row r="66" hidden="1" ht="15.6" customHeight="1">
      <c r="C66" s="77" t="n"/>
      <c r="D66" s="79" t="n"/>
      <c r="E66" s="317" t="inlineStr">
        <is>
          <t xml:space="preserve"> Tra le serie 2'+</t>
        </is>
      </c>
      <c r="H66" s="337" t="n"/>
      <c r="I66" s="316" t="n"/>
      <c r="J66" s="316" t="n"/>
      <c r="K66" s="317" t="inlineStr">
        <is>
          <t xml:space="preserve"> Tra le serie 2'+</t>
        </is>
      </c>
      <c r="N66" s="337" t="n"/>
      <c r="O66" s="316" t="n"/>
      <c r="P66" s="316" t="n"/>
      <c r="Q66" s="317" t="inlineStr">
        <is>
          <t xml:space="preserve"> Tra le serie 2'+</t>
        </is>
      </c>
      <c r="T66" s="337" t="n"/>
      <c r="U66" s="316" t="n"/>
      <c r="V66" s="316" t="n"/>
      <c r="W66" s="317" t="inlineStr">
        <is>
          <t xml:space="preserve"> Tra le serie 2'+</t>
        </is>
      </c>
      <c r="Z66" s="337" t="n"/>
      <c r="AA66" s="316" t="n"/>
      <c r="AB66" s="316" t="n"/>
      <c r="AC66" s="36" t="n"/>
    </row>
    <row r="67" hidden="1" ht="15.75" customHeight="1">
      <c r="C67" s="77" t="n"/>
      <c r="D67" s="80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8" t="n"/>
    </row>
    <row r="68" hidden="1" ht="15.75" customHeight="1">
      <c r="C68" s="77" t="n"/>
      <c r="D68" s="80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8" t="n"/>
    </row>
    <row r="69" hidden="1" ht="15.75" customHeight="1">
      <c r="C69" s="77" t="n"/>
      <c r="D69" s="80" t="inlineStr">
        <is>
          <t xml:space="preserve">1RM stacco da terra </t>
        </is>
      </c>
      <c r="E69" s="37" t="n">
        <v>51</v>
      </c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8" t="n"/>
    </row>
    <row r="70" hidden="1" ht="15.75" customHeight="1">
      <c r="C70" s="77" t="n"/>
      <c r="D70" s="80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8" t="n"/>
    </row>
    <row r="71" hidden="1" ht="14.45" customHeight="1">
      <c r="C71" s="77" t="n"/>
      <c r="D71" s="311" t="inlineStr">
        <is>
          <t>Esegui le sospensioni senza arrivare mai allo sfinimento (tranne nell'AMRAP), nel caso siano facili aumenta la zavorra</t>
        </is>
      </c>
      <c r="X71" s="39" t="n"/>
      <c r="Y71" s="39" t="n"/>
      <c r="Z71" s="39" t="n"/>
      <c r="AA71" s="39" t="n"/>
      <c r="AB71" s="39" t="n"/>
      <c r="AC71" s="40" t="n"/>
    </row>
    <row r="72" hidden="1" ht="14.45" customHeight="1">
      <c r="C72" s="77" t="n"/>
      <c r="D72" s="311" t="inlineStr">
        <is>
          <t>Esegui l'AMRAP entrambi i giorni di allenamento recuperando 3' prima di farlo</t>
        </is>
      </c>
      <c r="R72" s="311" t="n"/>
      <c r="S72" s="311" t="n"/>
      <c r="T72" s="311" t="n"/>
      <c r="U72" s="311" t="n"/>
      <c r="V72" s="311" t="n"/>
      <c r="W72" s="311" t="n"/>
      <c r="X72" s="39" t="n"/>
      <c r="Y72" s="39" t="n"/>
      <c r="Z72" s="39" t="n"/>
      <c r="AA72" s="39" t="n"/>
      <c r="AB72" s="39" t="n"/>
      <c r="AC72" s="40" t="n"/>
    </row>
    <row r="73" hidden="1" ht="15.75" customHeight="1" thickBot="1">
      <c r="C73" s="81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313" t="n">
        <v>45481</v>
      </c>
      <c r="Z73" s="9" t="n"/>
      <c r="AA73" s="9" t="n"/>
      <c r="AB73" s="9" t="n"/>
      <c r="AC73" s="338" t="n"/>
    </row>
    <row r="74" hidden="1" ht="15.75" customHeight="1" thickTop="1">
      <c r="C74" s="326" t="n"/>
      <c r="D74" s="83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41" t="n"/>
      <c r="X74" s="41" t="n"/>
      <c r="Y74" s="41" t="n"/>
      <c r="Z74" s="41" t="n"/>
      <c r="AA74" s="41" t="n"/>
      <c r="AB74" s="41" t="n"/>
      <c r="AC74" s="41" t="n"/>
    </row>
    <row r="75">
      <c r="C75" s="326" t="n"/>
      <c r="D75" s="83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</row>
    <row r="76"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</row>
    <row r="77"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</row>
    <row r="78" hidden="1" ht="16.5" customHeight="1" thickBot="1">
      <c r="C78" s="24" t="inlineStr">
        <is>
          <t>WEEK 9-12</t>
        </is>
      </c>
      <c r="D78" s="80" t="n"/>
      <c r="E78" s="12" t="n"/>
      <c r="F78" s="12" t="n"/>
      <c r="G78" s="26" t="n"/>
      <c r="H78" s="26" t="n"/>
      <c r="I78" s="122" t="n"/>
      <c r="J78" s="122" t="n"/>
      <c r="K78" s="12" t="n"/>
      <c r="L78" s="283">
        <f>$L$3</f>
        <v/>
      </c>
      <c r="M78" s="9" t="n"/>
      <c r="N78" s="27" t="n"/>
      <c r="O78" s="27" t="n"/>
      <c r="P78" s="27" t="n"/>
      <c r="Q78" s="27" t="n"/>
      <c r="R78" s="12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305">
        <f>$AC$3</f>
        <v/>
      </c>
    </row>
    <row r="79" hidden="1" ht="40.15" customHeight="1" thickBot="1" thickTop="1">
      <c r="C79" s="296" t="n"/>
      <c r="D79" s="333" t="n"/>
      <c r="E79" s="333" t="n"/>
      <c r="F79" s="333" t="n"/>
      <c r="G79" s="333" t="n"/>
      <c r="H79" s="333" t="n"/>
      <c r="I79" s="333" t="n"/>
      <c r="J79" s="333" t="n"/>
      <c r="K79" s="333" t="n"/>
      <c r="L79" s="333" t="n"/>
      <c r="M79" s="333" t="n"/>
      <c r="N79" s="333" t="n"/>
      <c r="O79" s="333" t="n"/>
      <c r="P79" s="333" t="n"/>
      <c r="Q79" s="333" t="n"/>
      <c r="R79" s="333" t="n"/>
      <c r="S79" s="333" t="n"/>
      <c r="T79" s="333" t="n"/>
      <c r="U79" s="333" t="n"/>
      <c r="V79" s="333" t="n"/>
      <c r="W79" s="333" t="n"/>
      <c r="X79" s="333" t="n"/>
      <c r="Y79" s="333" t="n"/>
      <c r="Z79" s="324">
        <f>$AC$4</f>
        <v/>
      </c>
      <c r="AA79" s="333" t="n"/>
      <c r="AB79" s="333" t="n"/>
      <c r="AC79" s="335" t="n"/>
    </row>
    <row r="80" hidden="1" ht="18" customHeight="1" thickBot="1" thickTop="1">
      <c r="C80" s="334" t="inlineStr">
        <is>
          <t>2024_08_SOSPENSIONI</t>
        </is>
      </c>
      <c r="D80" s="333" t="n"/>
      <c r="E80" s="333" t="n"/>
      <c r="F80" s="333" t="n"/>
      <c r="G80" s="333" t="n"/>
      <c r="H80" s="333" t="n"/>
      <c r="I80" s="333" t="n"/>
      <c r="J80" s="333" t="n"/>
      <c r="K80" s="333" t="n"/>
      <c r="L80" s="333" t="n"/>
      <c r="M80" s="333" t="n"/>
      <c r="N80" s="333" t="n"/>
      <c r="O80" s="333" t="n"/>
      <c r="P80" s="333" t="n"/>
      <c r="Q80" s="333" t="n"/>
      <c r="R80" s="333" t="n"/>
      <c r="S80" s="333" t="n"/>
      <c r="T80" s="333" t="n"/>
      <c r="U80" s="333" t="n"/>
      <c r="V80" s="333" t="n"/>
      <c r="W80" s="333" t="n"/>
      <c r="X80" s="333" t="n"/>
      <c r="Y80" s="333" t="n"/>
      <c r="Z80" s="333" t="n"/>
      <c r="AA80" s="333" t="n"/>
      <c r="AB80" s="333" t="n"/>
      <c r="AC80" s="335" t="n"/>
    </row>
    <row r="81" hidden="1" ht="15.75" customHeight="1" thickTop="1">
      <c r="C81" s="74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6" t="n"/>
    </row>
    <row r="82" hidden="1" ht="15.75" customHeight="1">
      <c r="C82" s="77" t="n"/>
      <c r="D82" s="80" t="inlineStr">
        <is>
          <t>FORZA</t>
        </is>
      </c>
      <c r="E82" s="319" t="inlineStr">
        <is>
          <t>Wk 9</t>
        </is>
      </c>
      <c r="H82" s="336" t="n"/>
      <c r="I82" s="318" t="n"/>
      <c r="J82" s="318" t="n"/>
      <c r="K82" s="325" t="inlineStr">
        <is>
          <t>Wk 10</t>
        </is>
      </c>
      <c r="N82" s="336" t="n"/>
      <c r="O82" s="318" t="n"/>
      <c r="P82" s="318" t="n"/>
      <c r="Q82" s="325" t="inlineStr">
        <is>
          <t>Wk 11</t>
        </is>
      </c>
      <c r="T82" s="336" t="n"/>
      <c r="U82" s="318" t="n"/>
      <c r="V82" s="318" t="n"/>
      <c r="W82" s="325" t="inlineStr">
        <is>
          <t>Wk 12</t>
        </is>
      </c>
      <c r="Z82" s="336" t="n"/>
      <c r="AA82" s="318" t="n"/>
      <c r="AB82" s="318" t="n"/>
      <c r="AC82" s="47" t="n"/>
    </row>
    <row r="83" hidden="1" ht="15.75" customHeight="1">
      <c r="C83" s="77" t="n"/>
      <c r="D83" s="73" t="inlineStr">
        <is>
          <t>Esercizio</t>
        </is>
      </c>
      <c r="E83" s="94" t="inlineStr">
        <is>
          <t>TEMPO</t>
        </is>
      </c>
      <c r="F83" s="33" t="inlineStr">
        <is>
          <t>REP</t>
        </is>
      </c>
      <c r="G83" s="94" t="inlineStr">
        <is>
          <t>SET</t>
        </is>
      </c>
      <c r="H83" s="72" t="inlineStr">
        <is>
          <t>CARICO</t>
        </is>
      </c>
      <c r="I83" s="121" t="inlineStr">
        <is>
          <t>Rest</t>
        </is>
      </c>
      <c r="J83" s="121" t="inlineStr">
        <is>
          <t>TUT es</t>
        </is>
      </c>
      <c r="K83" s="94" t="inlineStr">
        <is>
          <t>TEMPO</t>
        </is>
      </c>
      <c r="L83" s="33" t="inlineStr">
        <is>
          <t>REP</t>
        </is>
      </c>
      <c r="M83" s="94" t="inlineStr">
        <is>
          <t>SET</t>
        </is>
      </c>
      <c r="N83" s="72" t="inlineStr">
        <is>
          <t>CARICO</t>
        </is>
      </c>
      <c r="O83" s="121" t="inlineStr">
        <is>
          <t>Rest</t>
        </is>
      </c>
      <c r="P83" s="121" t="inlineStr">
        <is>
          <t>TUT es</t>
        </is>
      </c>
      <c r="Q83" s="94" t="inlineStr">
        <is>
          <t>TEMPO</t>
        </is>
      </c>
      <c r="R83" s="33" t="inlineStr">
        <is>
          <t>REP</t>
        </is>
      </c>
      <c r="S83" s="94" t="inlineStr">
        <is>
          <t>SET</t>
        </is>
      </c>
      <c r="T83" s="72" t="inlineStr">
        <is>
          <t>CARICO</t>
        </is>
      </c>
      <c r="U83" s="121" t="inlineStr">
        <is>
          <t>Rest</t>
        </is>
      </c>
      <c r="V83" s="121" t="inlineStr">
        <is>
          <t>TUT es</t>
        </is>
      </c>
      <c r="W83" s="94" t="inlineStr">
        <is>
          <t>TEMPO</t>
        </is>
      </c>
      <c r="X83" s="33" t="inlineStr">
        <is>
          <t>REP</t>
        </is>
      </c>
      <c r="Y83" s="94" t="inlineStr">
        <is>
          <t>SET</t>
        </is>
      </c>
      <c r="Z83" s="72" t="inlineStr">
        <is>
          <t>CARICO</t>
        </is>
      </c>
      <c r="AA83" s="121" t="inlineStr">
        <is>
          <t>Rest</t>
        </is>
      </c>
      <c r="AB83" s="121" t="inlineStr">
        <is>
          <t>TUT es</t>
        </is>
      </c>
      <c r="AC83" s="32" t="n"/>
    </row>
    <row r="84" hidden="1" ht="16.15" customHeight="1">
      <c r="C84" s="77" t="n"/>
      <c r="D84" s="78" t="inlineStr">
        <is>
          <t>Stacco da terra 20mm</t>
        </is>
      </c>
      <c r="E84" s="93" t="inlineStr">
        <is>
          <t>X</t>
        </is>
      </c>
      <c r="F84" s="34" t="n">
        <v>1</v>
      </c>
      <c r="G84" s="93" t="n">
        <v>1</v>
      </c>
      <c r="H84" s="222" t="inlineStr">
        <is>
          <t>RPE6</t>
        </is>
      </c>
      <c r="I84" s="321" t="n"/>
      <c r="J84" s="321">
        <f>(E84*F84)+(F84*I84)</f>
        <v/>
      </c>
      <c r="K84" s="93" t="inlineStr">
        <is>
          <t>X</t>
        </is>
      </c>
      <c r="L84" s="34" t="n">
        <v>1</v>
      </c>
      <c r="M84" s="93" t="n">
        <v>1</v>
      </c>
      <c r="N84" s="222" t="inlineStr">
        <is>
          <t>RPE7</t>
        </is>
      </c>
      <c r="O84">
        <f>$I84</f>
        <v/>
      </c>
      <c r="P84" s="321">
        <f>(K84*L84)+(L84*O84)</f>
        <v/>
      </c>
      <c r="Q84" s="93" t="inlineStr">
        <is>
          <t>X</t>
        </is>
      </c>
      <c r="R84" s="34" t="n">
        <v>1</v>
      </c>
      <c r="S84" s="93" t="n">
        <v>1</v>
      </c>
      <c r="T84" s="222" t="inlineStr">
        <is>
          <t>RPE8</t>
        </is>
      </c>
      <c r="U84">
        <f>$I84</f>
        <v/>
      </c>
      <c r="V84" s="321">
        <f>(Q84*R84)+(R84*U84)</f>
        <v/>
      </c>
      <c r="W84" s="93" t="inlineStr">
        <is>
          <t>SKIP</t>
        </is>
      </c>
      <c r="X84" s="34" t="n"/>
      <c r="Y84" s="93" t="n"/>
      <c r="Z84" s="222" t="n"/>
      <c r="AA84">
        <f>$I84</f>
        <v/>
      </c>
      <c r="AB84" s="321">
        <f>(W84*X84)+(X84*AA84)</f>
        <v/>
      </c>
      <c r="AC84" s="32" t="n"/>
      <c r="AD84" s="24" t="n"/>
      <c r="AE84" s="24" t="n"/>
      <c r="AF84" s="24" t="n"/>
    </row>
    <row r="85" hidden="1" ht="16.15" customHeight="1">
      <c r="C85" s="77" t="n"/>
      <c r="D85" s="78" t="n"/>
      <c r="E85" s="93" t="inlineStr">
        <is>
          <t>X</t>
        </is>
      </c>
      <c r="F85" s="34" t="n">
        <v>2</v>
      </c>
      <c r="G85" s="93" t="n">
        <v>2</v>
      </c>
      <c r="H85" s="222" t="inlineStr">
        <is>
          <t>41-44</t>
        </is>
      </c>
      <c r="I85" s="321" t="n"/>
      <c r="J85" s="321" t="n"/>
      <c r="K85" s="93" t="inlineStr">
        <is>
          <t>X</t>
        </is>
      </c>
      <c r="L85" s="34" t="n">
        <v>3</v>
      </c>
      <c r="M85" s="93" t="n">
        <v>2</v>
      </c>
      <c r="N85" s="222" t="inlineStr">
        <is>
          <t>41-44</t>
        </is>
      </c>
      <c r="P85" s="321" t="n"/>
      <c r="Q85" s="93" t="inlineStr">
        <is>
          <t>X</t>
        </is>
      </c>
      <c r="R85" s="34" t="n">
        <v>4</v>
      </c>
      <c r="S85" s="93" t="n">
        <v>2</v>
      </c>
      <c r="T85" s="222" t="inlineStr">
        <is>
          <t>41-44</t>
        </is>
      </c>
      <c r="V85" s="321" t="n"/>
      <c r="W85" s="93" t="n"/>
      <c r="X85" s="34" t="n"/>
      <c r="Y85" s="93" t="n"/>
      <c r="Z85" s="127" t="n"/>
      <c r="AB85" s="321" t="n"/>
      <c r="AC85" s="32" t="n"/>
      <c r="AD85" s="24" t="n"/>
      <c r="AE85" s="24" t="n"/>
      <c r="AF85" s="24" t="n"/>
    </row>
    <row r="86" hidden="1" ht="15.75" customHeight="1">
      <c r="C86" s="77" t="n"/>
      <c r="D86" s="123" t="inlineStr">
        <is>
          <t>Sospensioni 3 dita stese</t>
        </is>
      </c>
      <c r="E86" s="124" t="n">
        <v>4</v>
      </c>
      <c r="F86" s="124" t="n">
        <v>3</v>
      </c>
      <c r="G86" s="124" t="n">
        <v>3</v>
      </c>
      <c r="H86" s="130" t="n"/>
      <c r="I86" s="126" t="n"/>
      <c r="J86" s="126">
        <f>(E86*F86)+(F86*I86)</f>
        <v/>
      </c>
      <c r="K86" s="124" t="n">
        <v>4</v>
      </c>
      <c r="L86" s="124" t="n">
        <v>3</v>
      </c>
      <c r="M86" s="124" t="n">
        <v>2</v>
      </c>
      <c r="N86" s="130" t="n"/>
      <c r="O86" s="129">
        <f>$I86</f>
        <v/>
      </c>
      <c r="P86" s="126">
        <f>(K86*L86)+(L86*O86)</f>
        <v/>
      </c>
      <c r="Q86" s="124" t="n">
        <v>4</v>
      </c>
      <c r="R86" s="124" t="n">
        <v>4</v>
      </c>
      <c r="S86" s="124" t="n">
        <v>3</v>
      </c>
      <c r="T86" s="130" t="n"/>
      <c r="U86" s="129">
        <f>$I86</f>
        <v/>
      </c>
      <c r="V86" s="126">
        <f>(Q86*R86)+(R86*U86)</f>
        <v/>
      </c>
      <c r="W86" s="124" t="n">
        <v>4</v>
      </c>
      <c r="X86" s="124" t="n">
        <v>4</v>
      </c>
      <c r="Y86" s="124" t="n">
        <v>2</v>
      </c>
      <c r="Z86" s="130" t="n"/>
      <c r="AA86" s="129">
        <f>$I86</f>
        <v/>
      </c>
      <c r="AB86" s="126">
        <f>(W86*X86)+(X86*AA86)</f>
        <v/>
      </c>
      <c r="AC86" s="32" t="n"/>
      <c r="AD86" s="7" t="n"/>
    </row>
    <row r="87" hidden="1" ht="15.75" customHeight="1">
      <c r="C87" s="77" t="n"/>
      <c r="D87" s="78" t="inlineStr">
        <is>
          <t>Sospensioni svase</t>
        </is>
      </c>
      <c r="E87" s="321" t="n">
        <v>6</v>
      </c>
      <c r="F87" s="93" t="n">
        <v>2</v>
      </c>
      <c r="G87" s="93" t="n">
        <v>3</v>
      </c>
      <c r="H87" s="127" t="n"/>
      <c r="I87" s="321" t="n"/>
      <c r="J87" s="321">
        <f>(E87*F87)+(F87*I87)</f>
        <v/>
      </c>
      <c r="K87" s="321" t="n">
        <v>6</v>
      </c>
      <c r="L87" s="93" t="n">
        <v>2</v>
      </c>
      <c r="M87" s="93" t="n">
        <v>2</v>
      </c>
      <c r="N87" s="127" t="n"/>
      <c r="O87">
        <f>$I87</f>
        <v/>
      </c>
      <c r="P87" s="321">
        <f>(K87*L87)+(L87*O87)</f>
        <v/>
      </c>
      <c r="Q87" s="321" t="n">
        <v>6</v>
      </c>
      <c r="R87" s="93" t="n">
        <v>2</v>
      </c>
      <c r="S87" s="93" t="n">
        <v>3</v>
      </c>
      <c r="T87" s="127" t="n"/>
      <c r="U87">
        <f>$I87</f>
        <v/>
      </c>
      <c r="V87" s="321">
        <f>(Q87*R87)+(R87*U87)</f>
        <v/>
      </c>
      <c r="W87" s="321" t="n">
        <v>6</v>
      </c>
      <c r="X87" s="93" t="n">
        <v>2</v>
      </c>
      <c r="Y87" s="93" t="n">
        <v>2</v>
      </c>
      <c r="Z87" s="127" t="n"/>
      <c r="AA87">
        <f>$I87</f>
        <v/>
      </c>
      <c r="AB87" s="321">
        <f>(W87*X87)+(X87*AA87)</f>
        <v/>
      </c>
      <c r="AC87" s="32" t="n"/>
    </row>
    <row r="88" hidden="1" ht="15.75" customHeight="1">
      <c r="C88" s="77" t="n"/>
      <c r="D88" s="123" t="inlineStr">
        <is>
          <t>Sospensione due mani 20mm</t>
        </is>
      </c>
      <c r="E88" s="157" t="inlineStr">
        <is>
          <t>AMRAP</t>
        </is>
      </c>
      <c r="F88" s="124" t="n">
        <v>1</v>
      </c>
      <c r="G88" s="124" t="n">
        <v>1</v>
      </c>
      <c r="H88" s="125" t="n">
        <v>25</v>
      </c>
      <c r="I88" s="126" t="n"/>
      <c r="J88" s="126" t="n"/>
      <c r="K88" s="157" t="inlineStr">
        <is>
          <t>AMRAP</t>
        </is>
      </c>
      <c r="L88" s="124" t="n">
        <v>1</v>
      </c>
      <c r="M88" s="124" t="n">
        <v>1</v>
      </c>
      <c r="N88" s="125" t="n">
        <v>25</v>
      </c>
      <c r="O88" s="126" t="n"/>
      <c r="P88" s="126" t="n"/>
      <c r="Q88" s="157" t="inlineStr">
        <is>
          <t>AMRAP</t>
        </is>
      </c>
      <c r="R88" s="124" t="n">
        <v>1</v>
      </c>
      <c r="S88" s="124" t="n">
        <v>1</v>
      </c>
      <c r="T88" s="125" t="n">
        <v>25</v>
      </c>
      <c r="U88" s="126" t="n"/>
      <c r="V88" s="126" t="n"/>
      <c r="W88" s="157" t="inlineStr">
        <is>
          <t>AMRAP</t>
        </is>
      </c>
      <c r="X88" s="124" t="n">
        <v>1</v>
      </c>
      <c r="Y88" s="124" t="n">
        <v>1</v>
      </c>
      <c r="Z88" s="125" t="n">
        <v>25</v>
      </c>
      <c r="AA88" s="126" t="n"/>
      <c r="AB88" s="126" t="n"/>
      <c r="AC88" s="32" t="n"/>
    </row>
    <row r="89" hidden="1" ht="15.75" customHeight="1">
      <c r="C89" s="77" t="n"/>
      <c r="D89" s="79" t="inlineStr">
        <is>
          <t>Volume totale:</t>
        </is>
      </c>
      <c r="E89" s="322">
        <f t="array" ref="E89">SUMPRODUCT((E84:E87*F84:F87)*G84:G87)</f>
        <v/>
      </c>
      <c r="H89" s="337" t="n"/>
      <c r="I89" s="321" t="n"/>
      <c r="J89" s="321" t="n"/>
      <c r="K89" s="322">
        <f t="array" ref="K89">SUMPRODUCT((K84:K87*L84:L87)*M84:M87)</f>
        <v/>
      </c>
      <c r="N89" s="337" t="n"/>
      <c r="O89" s="321" t="n"/>
      <c r="P89" s="321" t="n"/>
      <c r="Q89" s="322">
        <f t="array" ref="Q89">SUMPRODUCT((Q84:Q87*R84:R87)*S84:S87)</f>
        <v/>
      </c>
      <c r="T89" s="337" t="n"/>
      <c r="U89" s="321" t="n"/>
      <c r="V89" s="321" t="n"/>
      <c r="W89" s="322">
        <f t="array" ref="W89">SUMPRODUCT((W84:W87*X84:X87)*Y84:Y87)</f>
        <v/>
      </c>
      <c r="Z89" s="337" t="n"/>
      <c r="AA89" s="321" t="n"/>
      <c r="AB89" s="321" t="n"/>
      <c r="AC89" s="32" t="n"/>
    </row>
    <row r="90" hidden="1" ht="15.6" customHeight="1">
      <c r="C90" s="77" t="n"/>
      <c r="D90" s="79" t="n"/>
      <c r="E90" s="80" t="n"/>
      <c r="F90" s="321" t="n"/>
      <c r="G90" s="321" t="n"/>
      <c r="H90" s="322" t="n"/>
      <c r="I90" s="321" t="n"/>
      <c r="J90" s="321" t="n"/>
      <c r="K90" s="321" t="n"/>
      <c r="L90" s="321" t="n"/>
      <c r="M90" s="321" t="n"/>
      <c r="N90" s="322" t="n"/>
      <c r="O90" s="321" t="n"/>
      <c r="P90" s="321" t="n"/>
      <c r="Q90" s="321" t="n"/>
      <c r="R90" s="321" t="n"/>
      <c r="S90" s="321" t="n"/>
      <c r="T90" s="322" t="n"/>
      <c r="U90" s="321" t="n"/>
      <c r="V90" s="321" t="n"/>
      <c r="W90" s="80" t="n"/>
      <c r="X90" s="321" t="n"/>
      <c r="Y90" s="321" t="n"/>
      <c r="Z90" s="322" t="n"/>
      <c r="AA90" s="321" t="n"/>
      <c r="AB90" s="321" t="n"/>
      <c r="AC90" s="47" t="n"/>
    </row>
    <row r="91" hidden="1" ht="15.6" customHeight="1">
      <c r="C91" s="77" t="n"/>
      <c r="D91" s="79" t="inlineStr">
        <is>
          <t xml:space="preserve">Recupero:  </t>
        </is>
      </c>
      <c r="E91" s="315" t="inlineStr">
        <is>
          <t xml:space="preserve"> Tra le ripetizioni 12" - No tra stacchi					</t>
        </is>
      </c>
      <c r="H91" s="337" t="n"/>
      <c r="I91" s="316" t="n"/>
      <c r="J91" s="316" t="n"/>
      <c r="K91" s="315" t="inlineStr">
        <is>
          <t xml:space="preserve"> Tra le ripetizioni 12" - No tra stacchi					</t>
        </is>
      </c>
      <c r="N91" s="337" t="n"/>
      <c r="O91" s="316" t="n"/>
      <c r="P91" s="316" t="n"/>
      <c r="Q91" s="315" t="inlineStr">
        <is>
          <t xml:space="preserve"> Tra le ripetizioni 12" - No tra stacchi					</t>
        </is>
      </c>
      <c r="T91" s="337" t="n"/>
      <c r="U91" s="316" t="n"/>
      <c r="V91" s="316" t="n"/>
      <c r="W91" s="315" t="inlineStr">
        <is>
          <t xml:space="preserve"> Tra le ripetizioni 12" - No tra stacchi					</t>
        </is>
      </c>
      <c r="Z91" s="337" t="n"/>
      <c r="AA91" s="314" t="n"/>
      <c r="AB91" s="314" t="n"/>
      <c r="AC91" s="36" t="n"/>
    </row>
    <row r="92" hidden="1" ht="15.6" customHeight="1">
      <c r="C92" s="77" t="n"/>
      <c r="D92" s="79" t="n"/>
      <c r="E92" s="317" t="inlineStr">
        <is>
          <t xml:space="preserve"> Tra le serie 2'+</t>
        </is>
      </c>
      <c r="H92" s="337" t="n"/>
      <c r="I92" s="316" t="n"/>
      <c r="J92" s="316" t="n"/>
      <c r="K92" s="317" t="inlineStr">
        <is>
          <t xml:space="preserve"> Tra le serie 2'+</t>
        </is>
      </c>
      <c r="N92" s="337" t="n"/>
      <c r="O92" s="316" t="n"/>
      <c r="P92" s="316" t="n"/>
      <c r="Q92" s="317" t="inlineStr">
        <is>
          <t xml:space="preserve"> Tra le serie 2'+</t>
        </is>
      </c>
      <c r="T92" s="337" t="n"/>
      <c r="U92" s="316" t="n"/>
      <c r="V92" s="316" t="n"/>
      <c r="W92" s="317" t="inlineStr">
        <is>
          <t xml:space="preserve"> Tra le serie 2'+</t>
        </is>
      </c>
      <c r="Z92" s="337" t="n"/>
      <c r="AA92" s="316" t="n"/>
      <c r="AB92" s="316" t="n"/>
      <c r="AC92" s="36" t="n"/>
    </row>
    <row r="93" hidden="1" ht="15.75" customHeight="1">
      <c r="C93" s="77" t="n"/>
      <c r="D93" s="79" t="n"/>
      <c r="E93" s="316" t="n"/>
      <c r="F93" s="316" t="n"/>
      <c r="G93" s="316" t="n"/>
      <c r="H93" s="316" t="n"/>
      <c r="I93" s="316" t="n"/>
      <c r="J93" s="316" t="n"/>
      <c r="K93" s="316" t="n"/>
      <c r="L93" s="316" t="n"/>
      <c r="M93" s="316" t="n"/>
      <c r="N93" s="316" t="n"/>
      <c r="O93" s="316" t="n"/>
      <c r="P93" s="316" t="n"/>
      <c r="Q93" s="316" t="n"/>
      <c r="R93" s="316" t="n"/>
      <c r="S93" s="316" t="n"/>
      <c r="T93" s="316" t="n"/>
      <c r="U93" s="316" t="n"/>
      <c r="V93" s="316" t="n"/>
      <c r="W93" s="316" t="n"/>
      <c r="X93" s="316" t="n"/>
      <c r="Y93" s="316" t="n"/>
      <c r="Z93" s="316" t="n"/>
      <c r="AA93" s="316" t="n"/>
      <c r="AB93" s="316" t="n"/>
      <c r="AC93" s="36" t="n"/>
    </row>
    <row r="94" hidden="1" ht="15.75" customHeight="1">
      <c r="C94" s="77" t="n"/>
      <c r="D94" s="24" t="inlineStr">
        <is>
          <t>FORZA</t>
        </is>
      </c>
      <c r="E94" s="319" t="inlineStr">
        <is>
          <t>Wk 9</t>
        </is>
      </c>
      <c r="H94" s="336" t="n"/>
      <c r="I94" s="318" t="n"/>
      <c r="J94" s="318" t="n"/>
      <c r="K94" s="325" t="inlineStr">
        <is>
          <t>Wk 10</t>
        </is>
      </c>
      <c r="N94" s="336" t="n"/>
      <c r="O94" s="318" t="n"/>
      <c r="P94" s="318" t="n"/>
      <c r="Q94" s="325" t="inlineStr">
        <is>
          <t>Wk 11</t>
        </is>
      </c>
      <c r="T94" s="336" t="n"/>
      <c r="U94" s="318" t="n"/>
      <c r="V94" s="318" t="n"/>
      <c r="W94" s="325" t="inlineStr">
        <is>
          <t>Wk 12</t>
        </is>
      </c>
      <c r="Z94" s="336" t="n"/>
      <c r="AA94" s="318" t="n"/>
      <c r="AB94" s="318" t="n"/>
      <c r="AC94" s="32" t="n"/>
    </row>
    <row r="95" hidden="1" ht="15.75" customHeight="1">
      <c r="C95" s="77" t="n"/>
      <c r="D95" s="73" t="inlineStr">
        <is>
          <t>Esercizio</t>
        </is>
      </c>
      <c r="E95" s="94" t="inlineStr">
        <is>
          <t>TEMPO</t>
        </is>
      </c>
      <c r="F95" s="33" t="inlineStr">
        <is>
          <t>REP</t>
        </is>
      </c>
      <c r="G95" s="94" t="inlineStr">
        <is>
          <t>SET</t>
        </is>
      </c>
      <c r="H95" s="72" t="inlineStr">
        <is>
          <t>CARICO</t>
        </is>
      </c>
      <c r="I95" s="121" t="inlineStr">
        <is>
          <t>Rest</t>
        </is>
      </c>
      <c r="J95" s="121" t="inlineStr">
        <is>
          <t>TUT es</t>
        </is>
      </c>
      <c r="K95" s="94" t="inlineStr">
        <is>
          <t>TEMPO</t>
        </is>
      </c>
      <c r="L95" s="33" t="inlineStr">
        <is>
          <t>REP</t>
        </is>
      </c>
      <c r="M95" s="94" t="inlineStr">
        <is>
          <t>SET</t>
        </is>
      </c>
      <c r="N95" s="72" t="inlineStr">
        <is>
          <t>CARICO</t>
        </is>
      </c>
      <c r="O95" s="121" t="inlineStr">
        <is>
          <t>Rest</t>
        </is>
      </c>
      <c r="P95" s="121" t="inlineStr">
        <is>
          <t>TUT es</t>
        </is>
      </c>
      <c r="Q95" s="94" t="inlineStr">
        <is>
          <t>TEMPO</t>
        </is>
      </c>
      <c r="R95" s="33" t="inlineStr">
        <is>
          <t>REP</t>
        </is>
      </c>
      <c r="S95" s="94" t="inlineStr">
        <is>
          <t>SET</t>
        </is>
      </c>
      <c r="T95" s="72" t="inlineStr">
        <is>
          <t>CARICO</t>
        </is>
      </c>
      <c r="U95" s="121" t="inlineStr">
        <is>
          <t>Rest</t>
        </is>
      </c>
      <c r="V95" s="121" t="inlineStr">
        <is>
          <t>TUT es</t>
        </is>
      </c>
      <c r="W95" s="94" t="inlineStr">
        <is>
          <t>TEMPO</t>
        </is>
      </c>
      <c r="X95" s="33" t="inlineStr">
        <is>
          <t>REP</t>
        </is>
      </c>
      <c r="Y95" s="94" t="inlineStr">
        <is>
          <t>SET</t>
        </is>
      </c>
      <c r="Z95" s="72" t="inlineStr">
        <is>
          <t>CARICO</t>
        </is>
      </c>
      <c r="AA95" s="121" t="inlineStr">
        <is>
          <t>Rest</t>
        </is>
      </c>
      <c r="AB95" s="121" t="inlineStr">
        <is>
          <t>TUT es</t>
        </is>
      </c>
      <c r="AC95" s="32" t="n"/>
    </row>
    <row r="96" hidden="1" ht="16.15" customHeight="1">
      <c r="C96" s="77" t="n"/>
      <c r="D96" s="123" t="inlineStr">
        <is>
          <t>Stacco da terra 20mm</t>
        </is>
      </c>
      <c r="E96" s="124" t="inlineStr">
        <is>
          <t>X</t>
        </is>
      </c>
      <c r="F96" s="128" t="n">
        <v>1</v>
      </c>
      <c r="G96" s="124" t="n">
        <v>1</v>
      </c>
      <c r="H96" s="225" t="inlineStr">
        <is>
          <t>RPE6</t>
        </is>
      </c>
      <c r="I96" s="126" t="n"/>
      <c r="J96" s="126">
        <f>(E96*F96)+(F96*I96)</f>
        <v/>
      </c>
      <c r="K96" s="124" t="inlineStr">
        <is>
          <t>X</t>
        </is>
      </c>
      <c r="L96" s="128" t="n">
        <v>1</v>
      </c>
      <c r="M96" s="124" t="n">
        <v>1</v>
      </c>
      <c r="N96" s="225" t="inlineStr">
        <is>
          <t>RPE7</t>
        </is>
      </c>
      <c r="O96" s="129">
        <f>$I96</f>
        <v/>
      </c>
      <c r="P96" s="126">
        <f>(K96*L96)+(L96*O96)</f>
        <v/>
      </c>
      <c r="Q96" s="124" t="inlineStr">
        <is>
          <t>X</t>
        </is>
      </c>
      <c r="R96" s="128" t="n">
        <v>1</v>
      </c>
      <c r="S96" s="124" t="n">
        <v>1</v>
      </c>
      <c r="T96" s="225" t="inlineStr">
        <is>
          <t>RPE8</t>
        </is>
      </c>
      <c r="U96" s="129">
        <f>$I96</f>
        <v/>
      </c>
      <c r="V96" s="126">
        <f>(Q96*R96)+(R96*U96)</f>
        <v/>
      </c>
      <c r="W96" s="124" t="inlineStr">
        <is>
          <t>X</t>
        </is>
      </c>
      <c r="X96" s="128" t="n">
        <v>5</v>
      </c>
      <c r="Y96" s="124" t="n">
        <v>1</v>
      </c>
      <c r="Z96" s="225" t="inlineStr">
        <is>
          <t>RPE10</t>
        </is>
      </c>
      <c r="AA96">
        <f>$I96</f>
        <v/>
      </c>
      <c r="AB96" s="321">
        <f>(W96*X96)+(X96*AA96)</f>
        <v/>
      </c>
      <c r="AC96" s="32" t="n"/>
      <c r="AD96" s="24" t="n"/>
      <c r="AE96" s="24" t="n"/>
      <c r="AF96" s="24" t="n"/>
    </row>
    <row r="97" hidden="1" ht="16.15" customHeight="1">
      <c r="C97" s="77" t="n"/>
      <c r="D97" s="123" t="n"/>
      <c r="E97" s="124" t="inlineStr">
        <is>
          <t>X</t>
        </is>
      </c>
      <c r="F97" s="128" t="n">
        <v>3</v>
      </c>
      <c r="G97" s="124" t="n">
        <v>3</v>
      </c>
      <c r="H97" s="226" t="inlineStr">
        <is>
          <t>40-41</t>
        </is>
      </c>
      <c r="I97" s="126" t="n"/>
      <c r="J97" s="126" t="n"/>
      <c r="K97" s="124" t="inlineStr">
        <is>
          <t>X</t>
        </is>
      </c>
      <c r="L97" s="128" t="n">
        <v>3</v>
      </c>
      <c r="M97" s="124" t="n">
        <v>3</v>
      </c>
      <c r="N97" s="226" t="inlineStr">
        <is>
          <t>41-44</t>
        </is>
      </c>
      <c r="O97" s="129" t="n"/>
      <c r="P97" s="126" t="n"/>
      <c r="Q97" s="124" t="inlineStr">
        <is>
          <t>X</t>
        </is>
      </c>
      <c r="R97" s="128" t="n">
        <v>3</v>
      </c>
      <c r="S97" s="124" t="n">
        <v>3</v>
      </c>
      <c r="T97" s="226" t="inlineStr">
        <is>
          <t>42-45</t>
        </is>
      </c>
      <c r="U97" s="129" t="n"/>
      <c r="V97" s="126" t="n"/>
      <c r="W97" s="124" t="n"/>
      <c r="X97" s="128" t="n"/>
      <c r="Y97" s="124" t="n"/>
      <c r="Z97" s="130" t="n"/>
      <c r="AB97" s="321" t="n"/>
      <c r="AC97" s="32" t="n"/>
      <c r="AD97" s="24" t="n"/>
      <c r="AE97" s="24" t="n"/>
      <c r="AF97" s="24" t="n"/>
    </row>
    <row r="98" hidden="1" ht="16.15" customHeight="1">
      <c r="C98" s="77" t="n"/>
      <c r="D98" s="78" t="inlineStr">
        <is>
          <t>Stacco da terra dita stese</t>
        </is>
      </c>
      <c r="E98" s="93" t="inlineStr">
        <is>
          <t>X</t>
        </is>
      </c>
      <c r="F98" s="34" t="n">
        <v>5</v>
      </c>
      <c r="G98" s="93" t="n">
        <v>3</v>
      </c>
      <c r="H98" s="127" t="inlineStr">
        <is>
          <t>RPE7</t>
        </is>
      </c>
      <c r="I98" s="321" t="n"/>
      <c r="J98" s="321">
        <f>(E98*F98)+(F98*I98)</f>
        <v/>
      </c>
      <c r="K98" s="93" t="inlineStr">
        <is>
          <t>X</t>
        </is>
      </c>
      <c r="L98" s="34" t="n">
        <v>5</v>
      </c>
      <c r="M98" s="93" t="n">
        <v>2</v>
      </c>
      <c r="N98" s="127" t="inlineStr">
        <is>
          <t>RPE8</t>
        </is>
      </c>
      <c r="O98">
        <f>$I98</f>
        <v/>
      </c>
      <c r="P98" s="321">
        <f>(K98*L98)+(L98*O98)</f>
        <v/>
      </c>
      <c r="Q98" s="93" t="inlineStr">
        <is>
          <t>X</t>
        </is>
      </c>
      <c r="R98" s="34" t="n">
        <v>6</v>
      </c>
      <c r="S98" s="93" t="n">
        <v>3</v>
      </c>
      <c r="T98" s="127" t="inlineStr">
        <is>
          <t>RPE7</t>
        </is>
      </c>
      <c r="U98">
        <f>$I98</f>
        <v/>
      </c>
      <c r="V98" s="321">
        <f>(Q98*R98)+(R98*U98)</f>
        <v/>
      </c>
      <c r="W98" s="93" t="inlineStr">
        <is>
          <t>\</t>
        </is>
      </c>
      <c r="X98" s="34" t="inlineStr">
        <is>
          <t>\</t>
        </is>
      </c>
      <c r="Y98" s="93" t="inlineStr">
        <is>
          <t>\</t>
        </is>
      </c>
      <c r="Z98" s="222" t="inlineStr">
        <is>
          <t>\</t>
        </is>
      </c>
      <c r="AA98">
        <f>$I98</f>
        <v/>
      </c>
      <c r="AB98" s="321">
        <f>(W98*X98)+(X98*AA98)</f>
        <v/>
      </c>
      <c r="AC98" s="32" t="n"/>
      <c r="AD98" s="24" t="n"/>
      <c r="AE98" s="24" t="n"/>
      <c r="AF98" s="24" t="n"/>
    </row>
    <row r="99" hidden="1" ht="15.75" customHeight="1">
      <c r="C99" s="77" t="n"/>
      <c r="D99" s="123" t="inlineStr">
        <is>
          <t>Sospensioni bidito semiarcuate scaricate</t>
        </is>
      </c>
      <c r="E99" s="124" t="n">
        <v>5</v>
      </c>
      <c r="F99" s="124" t="n">
        <v>4</v>
      </c>
      <c r="G99" s="124" t="n">
        <v>3</v>
      </c>
      <c r="H99" s="130" t="n"/>
      <c r="I99" s="126" t="n"/>
      <c r="J99" s="126">
        <f>(E99*F99)+(F99*I99)</f>
        <v/>
      </c>
      <c r="K99" s="124" t="n">
        <v>5</v>
      </c>
      <c r="L99" s="124" t="n">
        <v>4</v>
      </c>
      <c r="M99" s="124" t="n">
        <v>2</v>
      </c>
      <c r="N99" s="130" t="n"/>
      <c r="O99" s="129">
        <f>$I99</f>
        <v/>
      </c>
      <c r="P99" s="126">
        <f>(K99*L99)+(L99*O99)</f>
        <v/>
      </c>
      <c r="Q99" s="124" t="n">
        <v>5</v>
      </c>
      <c r="R99" s="124" t="n">
        <v>4</v>
      </c>
      <c r="S99" s="124" t="n">
        <v>3</v>
      </c>
      <c r="T99" s="130" t="n"/>
      <c r="U99" s="129">
        <f>$I99</f>
        <v/>
      </c>
      <c r="V99" s="126">
        <f>(Q99*R99)+(R99*U99)</f>
        <v/>
      </c>
      <c r="W99" s="124" t="n">
        <v>5</v>
      </c>
      <c r="X99" s="124" t="n">
        <v>4</v>
      </c>
      <c r="Y99" s="124" t="n">
        <v>2</v>
      </c>
      <c r="Z99" s="130" t="n"/>
      <c r="AA99" s="129">
        <f>$I99</f>
        <v/>
      </c>
      <c r="AB99" s="126">
        <f>(W99*X99)+(X99*AA99)</f>
        <v/>
      </c>
      <c r="AC99" s="32" t="n"/>
      <c r="AD99" s="7" t="n"/>
    </row>
    <row r="100" hidden="1" ht="15.75" customHeight="1">
      <c r="C100" s="77" t="n"/>
      <c r="D100" s="78" t="inlineStr">
        <is>
          <t>Sospensioni micros 10mm (BELLO ATTIVO)</t>
        </is>
      </c>
      <c r="E100" s="321" t="n">
        <v>5</v>
      </c>
      <c r="F100" s="93" t="n">
        <v>3</v>
      </c>
      <c r="G100" s="93" t="n">
        <v>3</v>
      </c>
      <c r="H100" s="127" t="n"/>
      <c r="I100" s="321" t="n"/>
      <c r="J100" s="321">
        <f>(E100*F100)+(F100*I100)</f>
        <v/>
      </c>
      <c r="K100" s="321" t="n">
        <v>5</v>
      </c>
      <c r="L100" s="93" t="n">
        <v>3</v>
      </c>
      <c r="M100" s="93" t="n">
        <v>2</v>
      </c>
      <c r="N100" s="127" t="n"/>
      <c r="O100">
        <f>$I100</f>
        <v/>
      </c>
      <c r="P100" s="321">
        <f>(K100*L100)+(L100*O100)</f>
        <v/>
      </c>
      <c r="Q100" s="321" t="n">
        <v>5</v>
      </c>
      <c r="R100" s="93" t="n">
        <v>3</v>
      </c>
      <c r="S100" s="93" t="n">
        <v>3</v>
      </c>
      <c r="T100" s="127" t="n"/>
      <c r="U100">
        <f>$I100</f>
        <v/>
      </c>
      <c r="V100" s="321">
        <f>(Q100*R100)+(R100*U100)</f>
        <v/>
      </c>
      <c r="W100" s="321" t="n">
        <v>5</v>
      </c>
      <c r="X100" s="93" t="n">
        <v>3</v>
      </c>
      <c r="Y100" s="93" t="n">
        <v>2</v>
      </c>
      <c r="Z100" s="127" t="n"/>
      <c r="AA100">
        <f>$I100</f>
        <v/>
      </c>
      <c r="AB100" s="321">
        <f>(W100*X100)+(X100*AA100)</f>
        <v/>
      </c>
      <c r="AC100" s="32" t="n"/>
    </row>
    <row r="101" hidden="1" ht="15.75" customHeight="1">
      <c r="C101" s="77" t="n"/>
      <c r="D101" s="123" t="inlineStr">
        <is>
          <t>Sospensione due mani 20mm</t>
        </is>
      </c>
      <c r="E101" s="157" t="inlineStr">
        <is>
          <t>AMRAP</t>
        </is>
      </c>
      <c r="F101" s="124" t="n">
        <v>1</v>
      </c>
      <c r="G101" s="124" t="n">
        <v>1</v>
      </c>
      <c r="H101" s="125" t="n">
        <v>25</v>
      </c>
      <c r="I101" s="126" t="n"/>
      <c r="J101" s="126" t="n"/>
      <c r="K101" s="157" t="inlineStr">
        <is>
          <t>AMRAP</t>
        </is>
      </c>
      <c r="L101" s="124" t="n">
        <v>1</v>
      </c>
      <c r="M101" s="124" t="n">
        <v>1</v>
      </c>
      <c r="N101" s="125" t="n">
        <v>25</v>
      </c>
      <c r="O101" s="126" t="n"/>
      <c r="P101" s="126" t="n"/>
      <c r="Q101" s="157" t="inlineStr">
        <is>
          <t>AMRAP</t>
        </is>
      </c>
      <c r="R101" s="124" t="n">
        <v>1</v>
      </c>
      <c r="S101" s="124" t="n">
        <v>1</v>
      </c>
      <c r="T101" s="125" t="n">
        <v>25</v>
      </c>
      <c r="U101" s="126" t="n"/>
      <c r="V101" s="126" t="n"/>
      <c r="W101" s="157" t="inlineStr">
        <is>
          <t>AMRAP</t>
        </is>
      </c>
      <c r="X101" s="124" t="n">
        <v>1</v>
      </c>
      <c r="Y101" s="124" t="n">
        <v>1</v>
      </c>
      <c r="Z101" s="125" t="n">
        <v>25</v>
      </c>
      <c r="AA101" s="126" t="n"/>
      <c r="AB101" s="126" t="n"/>
      <c r="AC101" s="32" t="n"/>
    </row>
    <row r="102" hidden="1" ht="15.75" customHeight="1">
      <c r="C102" s="77" t="n"/>
      <c r="D102" s="79" t="inlineStr">
        <is>
          <t>Volume totale:</t>
        </is>
      </c>
      <c r="E102" s="322">
        <f t="array" ref="E102">SUMPRODUCT((E98:E100*F98:F100)*G98:G100)</f>
        <v/>
      </c>
      <c r="H102" s="337" t="n"/>
      <c r="I102" s="321" t="n"/>
      <c r="J102" s="321" t="n"/>
      <c r="K102" s="322">
        <f t="array" ref="K102">SUMPRODUCT((K98:K100*L98:L100)*M98:M100)</f>
        <v/>
      </c>
      <c r="N102" s="337" t="n"/>
      <c r="O102" s="321" t="n"/>
      <c r="P102" s="321" t="n"/>
      <c r="Q102" s="322">
        <f t="array" ref="Q102">SUMPRODUCT((Q98:Q100*R98:R100)*S98:S100)</f>
        <v/>
      </c>
      <c r="T102" s="337" t="n"/>
      <c r="U102" s="321" t="n"/>
      <c r="V102" s="321" t="n"/>
      <c r="W102" s="322">
        <f t="array" ref="W102">SUMPRODUCT((W98:W100*X98:X100)*Y98:Y100)</f>
        <v/>
      </c>
      <c r="Z102" s="337" t="n"/>
      <c r="AA102" s="321" t="n"/>
      <c r="AB102" s="321" t="n"/>
      <c r="AC102" s="32" t="n"/>
    </row>
    <row r="103" hidden="1" ht="15.6" customHeight="1">
      <c r="C103" s="77" t="n"/>
      <c r="D103" s="79" t="n"/>
      <c r="E103" s="80" t="n"/>
      <c r="F103" s="321" t="n"/>
      <c r="G103" s="321" t="n"/>
      <c r="H103" s="322" t="n"/>
      <c r="I103" s="321" t="n"/>
      <c r="J103" s="321" t="n"/>
      <c r="K103" s="321" t="n"/>
      <c r="L103" s="321" t="n"/>
      <c r="M103" s="321" t="n"/>
      <c r="N103" s="322" t="n"/>
      <c r="O103" s="321" t="n"/>
      <c r="P103" s="321" t="n"/>
      <c r="Q103" s="321" t="n"/>
      <c r="R103" s="321" t="n"/>
      <c r="S103" s="321" t="n"/>
      <c r="T103" s="322" t="n"/>
      <c r="U103" s="321" t="n"/>
      <c r="V103" s="321" t="n"/>
      <c r="W103" s="80" t="n"/>
      <c r="X103" s="321" t="n"/>
      <c r="Y103" s="321" t="n"/>
      <c r="Z103" s="322" t="n"/>
      <c r="AA103" s="321" t="n"/>
      <c r="AB103" s="321" t="n"/>
      <c r="AC103" s="47" t="n"/>
    </row>
    <row r="104" hidden="1" ht="15.6" customHeight="1">
      <c r="C104" s="77" t="n"/>
      <c r="D104" s="79" t="inlineStr">
        <is>
          <t xml:space="preserve">Recupero:  </t>
        </is>
      </c>
      <c r="E104" s="315" t="inlineStr">
        <is>
          <t xml:space="preserve"> Tra le ripetizioni 12" - No tra stacchi					</t>
        </is>
      </c>
      <c r="H104" s="337" t="n"/>
      <c r="I104" s="316" t="n"/>
      <c r="J104" s="316" t="n"/>
      <c r="K104" s="315" t="inlineStr">
        <is>
          <t xml:space="preserve"> Tra le ripetizioni 12" - No tra stacchi					</t>
        </is>
      </c>
      <c r="N104" s="337" t="n"/>
      <c r="O104" s="316" t="n"/>
      <c r="P104" s="316" t="n"/>
      <c r="Q104" s="315" t="inlineStr">
        <is>
          <t xml:space="preserve"> Tra le ripetizioni 12" - No tra stacchi					</t>
        </is>
      </c>
      <c r="T104" s="337" t="n"/>
      <c r="U104" s="316" t="n"/>
      <c r="V104" s="316" t="n"/>
      <c r="W104" s="315" t="inlineStr">
        <is>
          <t xml:space="preserve"> Tra le ripetizioni 12" - No tra stacchi					</t>
        </is>
      </c>
      <c r="Z104" s="337" t="n"/>
      <c r="AA104" s="314" t="n"/>
      <c r="AB104" s="314" t="n"/>
      <c r="AC104" s="36" t="n"/>
    </row>
    <row r="105" hidden="1" ht="15.6" customHeight="1">
      <c r="C105" s="77" t="n"/>
      <c r="D105" s="79" t="n"/>
      <c r="E105" s="317" t="inlineStr">
        <is>
          <t xml:space="preserve"> Tra le serie 2'+</t>
        </is>
      </c>
      <c r="H105" s="337" t="n"/>
      <c r="I105" s="316" t="n"/>
      <c r="J105" s="316" t="n"/>
      <c r="K105" s="317" t="inlineStr">
        <is>
          <t xml:space="preserve"> Tra le serie 2'+</t>
        </is>
      </c>
      <c r="N105" s="337" t="n"/>
      <c r="O105" s="316" t="n"/>
      <c r="P105" s="316" t="n"/>
      <c r="Q105" s="317" t="inlineStr">
        <is>
          <t xml:space="preserve"> Tra le serie 2'+</t>
        </is>
      </c>
      <c r="T105" s="337" t="n"/>
      <c r="U105" s="316" t="n"/>
      <c r="V105" s="316" t="n"/>
      <c r="W105" s="317" t="inlineStr">
        <is>
          <t xml:space="preserve"> Tra le serie 2'+</t>
        </is>
      </c>
      <c r="Z105" s="337" t="n"/>
      <c r="AA105" s="316" t="n"/>
      <c r="AB105" s="316" t="n"/>
      <c r="AC105" s="36" t="n"/>
    </row>
    <row r="106" hidden="1" ht="15.75" customHeight="1">
      <c r="C106" s="77" t="n"/>
      <c r="D106" s="80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8" t="n"/>
    </row>
    <row r="107" hidden="1" ht="15.75" customHeight="1">
      <c r="C107" s="77" t="n"/>
      <c r="D107" s="80" t="inlineStr">
        <is>
          <t xml:space="preserve">1RM stacco da terra </t>
        </is>
      </c>
      <c r="E107" s="37" t="n">
        <v>53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8" t="n"/>
    </row>
    <row r="108" hidden="1" ht="15.75" customHeight="1">
      <c r="C108" s="77" t="n"/>
      <c r="D108" s="80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8" t="n"/>
    </row>
    <row r="109" hidden="1" ht="14.45" customHeight="1">
      <c r="C109" s="77" t="n"/>
      <c r="D109" s="311" t="inlineStr">
        <is>
          <t>Esegui le sospensioni senza arrivare mai allo sfinimento (tranne nell'AMRAP), nel caso siano facili aumenta la zavorra</t>
        </is>
      </c>
      <c r="X109" s="39" t="n"/>
      <c r="Y109" s="39" t="n"/>
      <c r="Z109" s="39" t="n"/>
      <c r="AA109" s="39" t="n"/>
      <c r="AB109" s="39" t="n"/>
      <c r="AC109" s="40" t="n"/>
    </row>
    <row r="110" hidden="1" ht="14.45" customHeight="1">
      <c r="C110" s="77" t="n"/>
      <c r="D110" s="311" t="inlineStr">
        <is>
          <t>Esegui l'AMRAP entrambi i giorni di allenamento recuperando 3' prima di farlo</t>
        </is>
      </c>
      <c r="S110" s="311" t="n"/>
      <c r="T110" s="311" t="n"/>
      <c r="U110" s="311" t="n"/>
      <c r="V110" s="311" t="n"/>
      <c r="W110" s="311" t="n"/>
      <c r="X110" s="39" t="n"/>
      <c r="Y110" s="39" t="n"/>
      <c r="Z110" s="39" t="n"/>
      <c r="AA110" s="39" t="n"/>
      <c r="AB110" s="39" t="n"/>
      <c r="AC110" s="40" t="n"/>
    </row>
    <row r="111" hidden="1" ht="15.75" customHeight="1" thickBot="1">
      <c r="C111" s="81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313" t="n">
        <v>45514</v>
      </c>
      <c r="Z111" s="9" t="n"/>
      <c r="AA111" s="9" t="n"/>
      <c r="AB111" s="9" t="n"/>
      <c r="AC111" s="338" t="n"/>
    </row>
    <row r="114" ht="16.5" customHeight="1" thickBot="1">
      <c r="C114" s="24" t="inlineStr">
        <is>
          <t>WEEK 13-16</t>
        </is>
      </c>
      <c r="D114" s="80" t="n"/>
      <c r="E114" s="12" t="n"/>
      <c r="F114" s="12" t="n"/>
      <c r="G114" s="26" t="n"/>
      <c r="H114" s="26" t="n"/>
      <c r="I114" s="122" t="n"/>
      <c r="J114" s="122" t="n"/>
      <c r="K114" s="12" t="n"/>
      <c r="L114" s="283">
        <f>$L$3</f>
        <v/>
      </c>
      <c r="M114" s="9" t="n"/>
      <c r="N114" s="27" t="n"/>
      <c r="O114" s="27" t="n"/>
      <c r="P114" s="27" t="n"/>
      <c r="Q114" s="27" t="n"/>
      <c r="R114" s="12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305">
        <f>$AC$3</f>
        <v/>
      </c>
    </row>
    <row r="115" ht="40.15" customHeight="1" thickBot="1" thickTop="1">
      <c r="C115" s="296" t="n"/>
      <c r="D115" s="333" t="n"/>
      <c r="E115" s="333" t="n"/>
      <c r="F115" s="333" t="n"/>
      <c r="G115" s="333" t="n"/>
      <c r="H115" s="333" t="n"/>
      <c r="I115" s="333" t="n"/>
      <c r="J115" s="333" t="n"/>
      <c r="K115" s="333" t="n"/>
      <c r="L115" s="333" t="n"/>
      <c r="M115" s="333" t="n"/>
      <c r="N115" s="333" t="n"/>
      <c r="O115" s="333" t="n"/>
      <c r="P115" s="333" t="n"/>
      <c r="Q115" s="333" t="n"/>
      <c r="R115" s="333" t="n"/>
      <c r="S115" s="333" t="n"/>
      <c r="T115" s="333" t="n"/>
      <c r="U115" s="333" t="n"/>
      <c r="V115" s="333" t="n"/>
      <c r="W115" s="333" t="n"/>
      <c r="X115" s="333" t="n"/>
      <c r="Y115" s="333" t="n"/>
      <c r="Z115" s="324">
        <f>$AC$4</f>
        <v/>
      </c>
      <c r="AA115" s="333" t="n"/>
      <c r="AB115" s="333" t="n"/>
      <c r="AC115" s="335" t="n"/>
    </row>
    <row r="116" ht="18" customHeight="1" thickBot="1" thickTop="1">
      <c r="C116" s="334" t="inlineStr">
        <is>
          <t>2024_09_SOSPENSIONI</t>
        </is>
      </c>
      <c r="D116" s="333" t="n"/>
      <c r="E116" s="333" t="n"/>
      <c r="F116" s="333" t="n"/>
      <c r="G116" s="333" t="n"/>
      <c r="H116" s="333" t="n"/>
      <c r="I116" s="333" t="n"/>
      <c r="J116" s="333" t="n"/>
      <c r="K116" s="333" t="n"/>
      <c r="L116" s="333" t="n"/>
      <c r="M116" s="333" t="n"/>
      <c r="N116" s="333" t="n"/>
      <c r="O116" s="333" t="n"/>
      <c r="P116" s="333" t="n"/>
      <c r="Q116" s="333" t="n"/>
      <c r="R116" s="333" t="n"/>
      <c r="S116" s="333" t="n"/>
      <c r="T116" s="333" t="n"/>
      <c r="U116" s="333" t="n"/>
      <c r="V116" s="333" t="n"/>
      <c r="W116" s="333" t="n"/>
      <c r="X116" s="333" t="n"/>
      <c r="Y116" s="333" t="n"/>
      <c r="Z116" s="333" t="n"/>
      <c r="AA116" s="333" t="n"/>
      <c r="AB116" s="333" t="n"/>
      <c r="AC116" s="335" t="n"/>
    </row>
    <row r="117" ht="15.75" customHeight="1" thickTop="1">
      <c r="C117" s="74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6" t="n"/>
    </row>
    <row r="118" ht="15.75" customHeight="1">
      <c r="C118" s="77" t="n"/>
      <c r="D118" s="80" t="inlineStr">
        <is>
          <t>FORZA</t>
        </is>
      </c>
      <c r="E118" s="319" t="inlineStr">
        <is>
          <t>Wk 13</t>
        </is>
      </c>
      <c r="H118" s="336" t="n"/>
      <c r="I118" s="318" t="n"/>
      <c r="J118" s="318" t="n"/>
      <c r="K118" s="325" t="inlineStr">
        <is>
          <t>Wk 14</t>
        </is>
      </c>
      <c r="N118" s="336" t="n"/>
      <c r="O118" s="318" t="n"/>
      <c r="P118" s="318" t="n"/>
      <c r="Q118" s="325" t="inlineStr">
        <is>
          <t>Wk 15</t>
        </is>
      </c>
      <c r="T118" s="336" t="n"/>
      <c r="U118" s="318" t="n"/>
      <c r="V118" s="318" t="n"/>
      <c r="W118" s="325" t="inlineStr">
        <is>
          <t>Wk 16</t>
        </is>
      </c>
      <c r="Z118" s="336" t="n"/>
      <c r="AA118" s="318" t="n"/>
      <c r="AB118" s="318" t="n"/>
      <c r="AC118" s="47" t="n"/>
    </row>
    <row r="119" ht="15.75" customHeight="1">
      <c r="C119" s="77" t="n"/>
      <c r="D119" s="73" t="inlineStr">
        <is>
          <t>Esercizio</t>
        </is>
      </c>
      <c r="E119" s="94" t="inlineStr">
        <is>
          <t>TEMPO</t>
        </is>
      </c>
      <c r="F119" s="33" t="inlineStr">
        <is>
          <t>REP</t>
        </is>
      </c>
      <c r="G119" s="94" t="inlineStr">
        <is>
          <t>SET</t>
        </is>
      </c>
      <c r="H119" s="72" t="inlineStr">
        <is>
          <t>CARICO</t>
        </is>
      </c>
      <c r="I119" s="121" t="inlineStr">
        <is>
          <t>Rest</t>
        </is>
      </c>
      <c r="J119" s="121" t="inlineStr">
        <is>
          <t>TUT es</t>
        </is>
      </c>
      <c r="K119" s="94" t="inlineStr">
        <is>
          <t>TEMPO</t>
        </is>
      </c>
      <c r="L119" s="33" t="inlineStr">
        <is>
          <t>REP</t>
        </is>
      </c>
      <c r="M119" s="94" t="inlineStr">
        <is>
          <t>SET</t>
        </is>
      </c>
      <c r="N119" s="72" t="inlineStr">
        <is>
          <t>CARICO</t>
        </is>
      </c>
      <c r="O119" s="121" t="inlineStr">
        <is>
          <t>Rest</t>
        </is>
      </c>
      <c r="P119" s="121" t="inlineStr">
        <is>
          <t>TUT es</t>
        </is>
      </c>
      <c r="Q119" s="94" t="inlineStr">
        <is>
          <t>TEMPO</t>
        </is>
      </c>
      <c r="R119" s="33" t="inlineStr">
        <is>
          <t>REP</t>
        </is>
      </c>
      <c r="S119" s="94" t="inlineStr">
        <is>
          <t>SET</t>
        </is>
      </c>
      <c r="T119" s="72" t="inlineStr">
        <is>
          <t>CARICO</t>
        </is>
      </c>
      <c r="U119" s="121" t="inlineStr">
        <is>
          <t>Rest</t>
        </is>
      </c>
      <c r="V119" s="121" t="inlineStr">
        <is>
          <t>TUT es</t>
        </is>
      </c>
      <c r="W119" s="94" t="inlineStr">
        <is>
          <t>TEMPO</t>
        </is>
      </c>
      <c r="X119" s="33" t="inlineStr">
        <is>
          <t>REP</t>
        </is>
      </c>
      <c r="Y119" s="94" t="inlineStr">
        <is>
          <t>SET</t>
        </is>
      </c>
      <c r="Z119" s="72" t="inlineStr">
        <is>
          <t>CARICO</t>
        </is>
      </c>
      <c r="AA119" s="121" t="inlineStr">
        <is>
          <t>Rest</t>
        </is>
      </c>
      <c r="AB119" s="121" t="inlineStr">
        <is>
          <t>TUT es</t>
        </is>
      </c>
      <c r="AC119" s="32" t="n"/>
    </row>
    <row r="120" ht="16.15" customHeight="1">
      <c r="C120" s="77" t="n"/>
      <c r="D120" s="78" t="inlineStr">
        <is>
          <t>Stacco da terra 20mm</t>
        </is>
      </c>
      <c r="E120" s="93" t="inlineStr">
        <is>
          <t>X</t>
        </is>
      </c>
      <c r="F120" s="34" t="n">
        <v>1</v>
      </c>
      <c r="G120" s="93" t="n">
        <v>1</v>
      </c>
      <c r="H120" s="222" t="inlineStr">
        <is>
          <t>RPE6</t>
        </is>
      </c>
      <c r="I120" s="321" t="n"/>
      <c r="J120" s="321">
        <f>(E120*F120)+(F120*I120)</f>
        <v/>
      </c>
      <c r="K120" s="93" t="inlineStr">
        <is>
          <t>X</t>
        </is>
      </c>
      <c r="L120" s="34" t="n">
        <v>1</v>
      </c>
      <c r="M120" s="93" t="n">
        <v>1</v>
      </c>
      <c r="N120" s="222" t="inlineStr">
        <is>
          <t>RPE7</t>
        </is>
      </c>
      <c r="O120">
        <f>$I120</f>
        <v/>
      </c>
      <c r="P120" s="321">
        <f>(K120*L120)+(L120*O120)</f>
        <v/>
      </c>
      <c r="Q120" s="93" t="inlineStr">
        <is>
          <t>X</t>
        </is>
      </c>
      <c r="R120" s="34" t="n">
        <v>1</v>
      </c>
      <c r="S120" s="93" t="n">
        <v>1</v>
      </c>
      <c r="T120" s="222" t="inlineStr">
        <is>
          <t>RPE8</t>
        </is>
      </c>
      <c r="U120">
        <f>$I120</f>
        <v/>
      </c>
      <c r="V120" s="321">
        <f>(Q120*R120)+(R120*U120)</f>
        <v/>
      </c>
      <c r="W120" s="93" t="inlineStr">
        <is>
          <t>SKIP</t>
        </is>
      </c>
      <c r="X120" s="34" t="n"/>
      <c r="Y120" s="93" t="n"/>
      <c r="Z120" s="222" t="n"/>
      <c r="AA120">
        <f>$I120</f>
        <v/>
      </c>
      <c r="AB120" s="321">
        <f>(W120*X120)+(X120*AA120)</f>
        <v/>
      </c>
      <c r="AC120" s="32" t="n"/>
      <c r="AD120" s="24" t="n"/>
      <c r="AE120" s="24" t="n"/>
      <c r="AF120" s="24" t="n"/>
    </row>
    <row r="121" ht="16.15" customHeight="1">
      <c r="C121" s="77" t="n"/>
      <c r="D121" s="78" t="n"/>
      <c r="E121" s="93" t="inlineStr">
        <is>
          <t>X</t>
        </is>
      </c>
      <c r="F121" s="34" t="n">
        <v>3</v>
      </c>
      <c r="G121" s="93" t="n">
        <v>3</v>
      </c>
      <c r="H121" s="222" t="inlineStr">
        <is>
          <t>38-40</t>
        </is>
      </c>
      <c r="I121" s="321" t="n"/>
      <c r="J121" s="321" t="n"/>
      <c r="K121" s="93" t="inlineStr">
        <is>
          <t>X</t>
        </is>
      </c>
      <c r="L121" s="34" t="n">
        <v>3</v>
      </c>
      <c r="M121" s="93" t="n">
        <v>3</v>
      </c>
      <c r="N121" s="222" t="inlineStr">
        <is>
          <t>39-41</t>
        </is>
      </c>
      <c r="P121" s="321" t="n"/>
      <c r="Q121" s="93" t="inlineStr">
        <is>
          <t>X</t>
        </is>
      </c>
      <c r="R121" s="34" t="n">
        <v>3</v>
      </c>
      <c r="S121" s="93" t="n">
        <v>3</v>
      </c>
      <c r="T121" s="222" t="inlineStr">
        <is>
          <t>40-42</t>
        </is>
      </c>
      <c r="V121" s="321" t="n"/>
      <c r="W121" s="93" t="n"/>
      <c r="X121" s="34" t="n"/>
      <c r="Y121" s="93" t="n"/>
      <c r="Z121" s="127" t="n"/>
      <c r="AB121" s="321" t="n"/>
      <c r="AC121" s="32" t="n"/>
      <c r="AD121" s="24" t="n"/>
      <c r="AE121" s="24" t="n"/>
      <c r="AF121" s="24" t="n"/>
    </row>
    <row r="122" ht="15.75" customHeight="1">
      <c r="C122" s="77" t="n"/>
      <c r="D122" s="123" t="inlineStr">
        <is>
          <t>Sospensioni 3 dita stese</t>
        </is>
      </c>
      <c r="E122" s="124" t="n">
        <v>5</v>
      </c>
      <c r="F122" s="124" t="n">
        <v>2</v>
      </c>
      <c r="G122" s="124" t="n">
        <v>2</v>
      </c>
      <c r="H122" s="130" t="inlineStr">
        <is>
          <t>RPE7</t>
        </is>
      </c>
      <c r="I122" s="126" t="n"/>
      <c r="J122" s="126">
        <f>(E122*F122)+(F122*I122)</f>
        <v/>
      </c>
      <c r="K122" s="124" t="n">
        <v>5</v>
      </c>
      <c r="L122" s="124" t="n">
        <v>2</v>
      </c>
      <c r="M122" s="124" t="n">
        <v>3</v>
      </c>
      <c r="N122" s="130" t="inlineStr">
        <is>
          <t>RPE7</t>
        </is>
      </c>
      <c r="O122" s="129">
        <f>$I122</f>
        <v/>
      </c>
      <c r="P122" s="126">
        <f>(K122*L122)+(L122*O122)</f>
        <v/>
      </c>
      <c r="Q122" s="124" t="n">
        <v>5</v>
      </c>
      <c r="R122" s="124" t="n">
        <v>2</v>
      </c>
      <c r="S122" s="124" t="n">
        <v>3</v>
      </c>
      <c r="T122" s="130" t="inlineStr">
        <is>
          <t>RPE6</t>
        </is>
      </c>
      <c r="U122" s="129">
        <f>$I122</f>
        <v/>
      </c>
      <c r="V122" s="126">
        <f>(Q122*R122)+(R122*U122)</f>
        <v/>
      </c>
      <c r="W122" s="124" t="n">
        <v>6</v>
      </c>
      <c r="X122" s="124" t="n">
        <v>2</v>
      </c>
      <c r="Y122" s="124" t="n">
        <v>2</v>
      </c>
      <c r="Z122" s="130" t="inlineStr">
        <is>
          <t>RPE6</t>
        </is>
      </c>
      <c r="AA122" s="129">
        <f>$I122</f>
        <v/>
      </c>
      <c r="AB122" s="126">
        <f>(W122*X122)+(X122*AA122)</f>
        <v/>
      </c>
      <c r="AC122" s="32" t="n"/>
      <c r="AD122" s="7" t="n"/>
    </row>
    <row r="123" ht="15.75" customHeight="1">
      <c r="C123" s="77" t="n"/>
      <c r="D123" s="78" t="inlineStr">
        <is>
          <t>Sospensioni svase</t>
        </is>
      </c>
      <c r="E123" s="321" t="n">
        <v>7</v>
      </c>
      <c r="F123" s="93" t="n">
        <v>2</v>
      </c>
      <c r="G123" s="93" t="n">
        <v>3</v>
      </c>
      <c r="H123" s="127" t="n"/>
      <c r="I123" s="321" t="n"/>
      <c r="J123" s="321">
        <f>(E123*F123)+(F123*I123)</f>
        <v/>
      </c>
      <c r="K123" s="321" t="n">
        <v>7</v>
      </c>
      <c r="L123" s="93" t="n">
        <v>2</v>
      </c>
      <c r="M123" s="93" t="n">
        <v>3</v>
      </c>
      <c r="N123" s="127" t="n"/>
      <c r="O123">
        <f>$I123</f>
        <v/>
      </c>
      <c r="P123" s="321">
        <f>(K123*L123)+(L123*O123)</f>
        <v/>
      </c>
      <c r="Q123" s="321" t="n">
        <v>7</v>
      </c>
      <c r="R123" s="93" t="n">
        <v>2</v>
      </c>
      <c r="S123" s="93" t="n">
        <v>2</v>
      </c>
      <c r="T123" s="127" t="n"/>
      <c r="U123">
        <f>$I123</f>
        <v/>
      </c>
      <c r="V123" s="321">
        <f>(Q123*R123)+(R123*U123)</f>
        <v/>
      </c>
      <c r="W123" s="321" t="n">
        <v>7</v>
      </c>
      <c r="X123" s="93" t="n">
        <v>2</v>
      </c>
      <c r="Y123" s="93" t="n">
        <v>2</v>
      </c>
      <c r="Z123" s="127" t="n"/>
      <c r="AA123">
        <f>$I123</f>
        <v/>
      </c>
      <c r="AB123" s="321">
        <f>(W123*X123)+(X123*AA123)</f>
        <v/>
      </c>
      <c r="AC123" s="32" t="n"/>
    </row>
    <row r="124" ht="15.75" customHeight="1">
      <c r="C124" s="77" t="n"/>
      <c r="D124" s="123" t="inlineStr">
        <is>
          <t>Sospensione due mani 20mm</t>
        </is>
      </c>
      <c r="E124" s="157" t="inlineStr">
        <is>
          <t>AMRAP</t>
        </is>
      </c>
      <c r="F124" s="124" t="n">
        <v>1</v>
      </c>
      <c r="G124" s="124" t="n">
        <v>1</v>
      </c>
      <c r="H124" s="125" t="n">
        <v>25</v>
      </c>
      <c r="I124" s="126" t="n"/>
      <c r="J124" s="126" t="n"/>
      <c r="K124" s="157" t="inlineStr">
        <is>
          <t>AMRAP</t>
        </is>
      </c>
      <c r="L124" s="124" t="n">
        <v>1</v>
      </c>
      <c r="M124" s="124" t="n">
        <v>1</v>
      </c>
      <c r="N124" s="125" t="n">
        <v>25</v>
      </c>
      <c r="O124" s="126" t="n"/>
      <c r="P124" s="126" t="n"/>
      <c r="Q124" s="157" t="inlineStr">
        <is>
          <t>AMRAP</t>
        </is>
      </c>
      <c r="R124" s="124" t="n">
        <v>1</v>
      </c>
      <c r="S124" s="124" t="n">
        <v>1</v>
      </c>
      <c r="T124" s="125" t="n">
        <v>25</v>
      </c>
      <c r="U124" s="126" t="n"/>
      <c r="V124" s="126" t="n"/>
      <c r="W124" s="157" t="inlineStr">
        <is>
          <t>AMRAP</t>
        </is>
      </c>
      <c r="X124" s="124" t="n">
        <v>1</v>
      </c>
      <c r="Y124" s="124" t="n">
        <v>1</v>
      </c>
      <c r="Z124" s="125" t="n">
        <v>25</v>
      </c>
      <c r="AA124" s="126" t="n"/>
      <c r="AB124" s="126" t="n"/>
      <c r="AC124" s="32" t="n"/>
    </row>
    <row r="125" ht="15.75" customHeight="1">
      <c r="C125" s="77" t="n"/>
      <c r="D125" s="79" t="inlineStr">
        <is>
          <t>Volume totale:</t>
        </is>
      </c>
      <c r="E125" s="322">
        <f t="array" ref="E125">SUMPRODUCT((E120:E123*F120:F123)*G120:G123)</f>
        <v/>
      </c>
      <c r="H125" s="337" t="n"/>
      <c r="I125" s="321" t="n"/>
      <c r="J125" s="321" t="n"/>
      <c r="K125" s="322">
        <f t="array" ref="K125">SUMPRODUCT((K120:K123*L120:L123)*M120:M123)</f>
        <v/>
      </c>
      <c r="N125" s="337" t="n"/>
      <c r="O125" s="321" t="n"/>
      <c r="P125" s="321" t="n"/>
      <c r="Q125" s="322">
        <f t="array" ref="Q125">SUMPRODUCT((Q120:Q123*R120:R123)*S120:S123)</f>
        <v/>
      </c>
      <c r="T125" s="337" t="n"/>
      <c r="U125" s="321" t="n"/>
      <c r="V125" s="321" t="n"/>
      <c r="W125" s="322">
        <f t="array" ref="W125">SUMPRODUCT((W120:W123*X120:X123)*Y120:Y123)</f>
        <v/>
      </c>
      <c r="Z125" s="337" t="n"/>
      <c r="AA125" s="321" t="n"/>
      <c r="AB125" s="321" t="n"/>
      <c r="AC125" s="32" t="n"/>
    </row>
    <row r="126" ht="15.6" customHeight="1">
      <c r="C126" s="77" t="n"/>
      <c r="D126" s="79" t="n"/>
      <c r="E126" s="80" t="n"/>
      <c r="F126" s="321" t="n"/>
      <c r="G126" s="321" t="n"/>
      <c r="H126" s="322" t="n"/>
      <c r="I126" s="321" t="n"/>
      <c r="J126" s="321" t="n"/>
      <c r="K126" s="321" t="n"/>
      <c r="L126" s="321" t="n"/>
      <c r="M126" s="321" t="n"/>
      <c r="N126" s="322" t="n"/>
      <c r="O126" s="321" t="n"/>
      <c r="P126" s="321" t="n"/>
      <c r="Q126" s="321" t="n"/>
      <c r="R126" s="321" t="n"/>
      <c r="S126" s="321" t="n"/>
      <c r="T126" s="322" t="n"/>
      <c r="U126" s="321" t="n"/>
      <c r="V126" s="321" t="n"/>
      <c r="W126" s="80" t="n"/>
      <c r="X126" s="321" t="n"/>
      <c r="Y126" s="321" t="n"/>
      <c r="Z126" s="322" t="n"/>
      <c r="AA126" s="321" t="n"/>
      <c r="AB126" s="321" t="n"/>
      <c r="AC126" s="47" t="n"/>
    </row>
    <row r="127" ht="15.6" customHeight="1">
      <c r="C127" s="77" t="n"/>
      <c r="D127" s="79" t="inlineStr">
        <is>
          <t xml:space="preserve">Recupero:  </t>
        </is>
      </c>
      <c r="E127" s="315" t="inlineStr">
        <is>
          <t xml:space="preserve"> Tra le ripetizioni 12" - No tra stacchi					</t>
        </is>
      </c>
      <c r="H127" s="337" t="n"/>
      <c r="I127" s="316" t="n"/>
      <c r="J127" s="316" t="n"/>
      <c r="K127" s="315" t="inlineStr">
        <is>
          <t xml:space="preserve"> Tra le ripetizioni 12" - No tra stacchi					</t>
        </is>
      </c>
      <c r="N127" s="337" t="n"/>
      <c r="O127" s="316" t="n"/>
      <c r="P127" s="316" t="n"/>
      <c r="Q127" s="315" t="inlineStr">
        <is>
          <t xml:space="preserve"> Tra le ripetizioni 12" - No tra stacchi					</t>
        </is>
      </c>
      <c r="T127" s="337" t="n"/>
      <c r="U127" s="316" t="n"/>
      <c r="V127" s="316" t="n"/>
      <c r="W127" s="315" t="inlineStr">
        <is>
          <t xml:space="preserve"> Tra le ripetizioni 12" - No tra stacchi					</t>
        </is>
      </c>
      <c r="Z127" s="337" t="n"/>
      <c r="AA127" s="314" t="n"/>
      <c r="AB127" s="314" t="n"/>
      <c r="AC127" s="36" t="n"/>
    </row>
    <row r="128" ht="15.6" customHeight="1">
      <c r="C128" s="77" t="n"/>
      <c r="D128" s="79" t="n"/>
      <c r="E128" s="317" t="inlineStr">
        <is>
          <t xml:space="preserve"> Tra le serie 2'+</t>
        </is>
      </c>
      <c r="H128" s="337" t="n"/>
      <c r="I128" s="316" t="n"/>
      <c r="J128" s="316" t="n"/>
      <c r="K128" s="317" t="inlineStr">
        <is>
          <t xml:space="preserve"> Tra le serie 2'+</t>
        </is>
      </c>
      <c r="N128" s="337" t="n"/>
      <c r="O128" s="316" t="n"/>
      <c r="P128" s="316" t="n"/>
      <c r="Q128" s="317" t="inlineStr">
        <is>
          <t xml:space="preserve"> Tra le serie 2'+</t>
        </is>
      </c>
      <c r="T128" s="337" t="n"/>
      <c r="U128" s="316" t="n"/>
      <c r="V128" s="316" t="n"/>
      <c r="W128" s="317" t="inlineStr">
        <is>
          <t xml:space="preserve"> Tra le serie 2'+</t>
        </is>
      </c>
      <c r="Z128" s="337" t="n"/>
      <c r="AA128" s="316" t="n"/>
      <c r="AB128" s="316" t="n"/>
      <c r="AC128" s="36" t="n"/>
    </row>
    <row r="129" ht="15.75" customHeight="1">
      <c r="C129" s="77" t="n"/>
      <c r="D129" s="79" t="n"/>
      <c r="E129" s="316" t="n"/>
      <c r="F129" s="316" t="n"/>
      <c r="G129" s="316" t="n"/>
      <c r="H129" s="316" t="n"/>
      <c r="I129" s="316" t="n"/>
      <c r="J129" s="316" t="n"/>
      <c r="K129" s="316" t="n"/>
      <c r="L129" s="316" t="n"/>
      <c r="M129" s="316" t="n"/>
      <c r="N129" s="316" t="n"/>
      <c r="O129" s="316" t="n"/>
      <c r="P129" s="316" t="n"/>
      <c r="Q129" s="316" t="n"/>
      <c r="R129" s="316" t="n"/>
      <c r="S129" s="316" t="n"/>
      <c r="T129" s="316" t="n"/>
      <c r="U129" s="316" t="n"/>
      <c r="V129" s="316" t="n"/>
      <c r="W129" s="316" t="n"/>
      <c r="X129" s="316" t="n"/>
      <c r="Y129" s="316" t="n"/>
      <c r="Z129" s="316" t="n"/>
      <c r="AA129" s="316" t="n"/>
      <c r="AB129" s="316" t="n"/>
      <c r="AC129" s="36" t="n"/>
    </row>
    <row r="130" ht="15.75" customHeight="1">
      <c r="C130" s="77" t="n"/>
      <c r="D130" s="24" t="inlineStr">
        <is>
          <t>FORZA</t>
        </is>
      </c>
      <c r="E130" s="319" t="inlineStr">
        <is>
          <t>Wk 13</t>
        </is>
      </c>
      <c r="H130" s="336" t="n"/>
      <c r="I130" s="318" t="n"/>
      <c r="J130" s="318" t="n"/>
      <c r="K130" s="325" t="inlineStr">
        <is>
          <t>Wk 14</t>
        </is>
      </c>
      <c r="N130" s="336" t="n"/>
      <c r="O130" s="318" t="n"/>
      <c r="P130" s="318" t="n"/>
      <c r="Q130" s="325" t="inlineStr">
        <is>
          <t>Wk 15</t>
        </is>
      </c>
      <c r="T130" s="336" t="n"/>
      <c r="U130" s="318" t="n"/>
      <c r="V130" s="318" t="n"/>
      <c r="W130" s="325" t="inlineStr">
        <is>
          <t>Wk 16</t>
        </is>
      </c>
      <c r="Z130" s="336" t="n"/>
      <c r="AA130" s="318" t="n"/>
      <c r="AB130" s="318" t="n"/>
      <c r="AC130" s="32" t="n"/>
    </row>
    <row r="131" ht="15.75" customHeight="1">
      <c r="C131" s="77" t="n"/>
      <c r="D131" s="73" t="inlineStr">
        <is>
          <t>Esercizio</t>
        </is>
      </c>
      <c r="E131" s="94" t="inlineStr">
        <is>
          <t>TEMPO</t>
        </is>
      </c>
      <c r="F131" s="33" t="inlineStr">
        <is>
          <t>REP</t>
        </is>
      </c>
      <c r="G131" s="94" t="inlineStr">
        <is>
          <t>SET</t>
        </is>
      </c>
      <c r="H131" s="72" t="inlineStr">
        <is>
          <t>CARICO</t>
        </is>
      </c>
      <c r="I131" s="121" t="inlineStr">
        <is>
          <t>Rest</t>
        </is>
      </c>
      <c r="J131" s="121" t="inlineStr">
        <is>
          <t>TUT es</t>
        </is>
      </c>
      <c r="K131" s="94" t="inlineStr">
        <is>
          <t>TEMPO</t>
        </is>
      </c>
      <c r="L131" s="33" t="inlineStr">
        <is>
          <t>REP</t>
        </is>
      </c>
      <c r="M131" s="94" t="inlineStr">
        <is>
          <t>SET</t>
        </is>
      </c>
      <c r="N131" s="72" t="inlineStr">
        <is>
          <t>CARICO</t>
        </is>
      </c>
      <c r="O131" s="121" t="inlineStr">
        <is>
          <t>Rest</t>
        </is>
      </c>
      <c r="P131" s="121" t="inlineStr">
        <is>
          <t>TUT es</t>
        </is>
      </c>
      <c r="Q131" s="94" t="inlineStr">
        <is>
          <t>TEMPO</t>
        </is>
      </c>
      <c r="R131" s="33" t="inlineStr">
        <is>
          <t>REP</t>
        </is>
      </c>
      <c r="S131" s="94" t="inlineStr">
        <is>
          <t>SET</t>
        </is>
      </c>
      <c r="T131" s="72" t="inlineStr">
        <is>
          <t>CARICO</t>
        </is>
      </c>
      <c r="U131" s="121" t="inlineStr">
        <is>
          <t>Rest</t>
        </is>
      </c>
      <c r="V131" s="121" t="inlineStr">
        <is>
          <t>TUT es</t>
        </is>
      </c>
      <c r="W131" s="94" t="inlineStr">
        <is>
          <t>TEMPO</t>
        </is>
      </c>
      <c r="X131" s="33" t="inlineStr">
        <is>
          <t>REP</t>
        </is>
      </c>
      <c r="Y131" s="94" t="inlineStr">
        <is>
          <t>SET</t>
        </is>
      </c>
      <c r="Z131" s="72" t="inlineStr">
        <is>
          <t>CARICO</t>
        </is>
      </c>
      <c r="AA131" s="121" t="inlineStr">
        <is>
          <t>Rest</t>
        </is>
      </c>
      <c r="AB131" s="121" t="inlineStr">
        <is>
          <t>TUT es</t>
        </is>
      </c>
      <c r="AC131" s="32" t="n"/>
    </row>
    <row r="132" ht="16.15" customHeight="1">
      <c r="C132" s="77" t="n"/>
      <c r="D132" s="123" t="inlineStr">
        <is>
          <t>Stacco da terra 20mm</t>
        </is>
      </c>
      <c r="E132" s="124" t="inlineStr">
        <is>
          <t>X</t>
        </is>
      </c>
      <c r="F132" s="128" t="n">
        <v>1</v>
      </c>
      <c r="G132" s="124" t="n">
        <v>1</v>
      </c>
      <c r="H132" s="225" t="inlineStr">
        <is>
          <t>RPE6</t>
        </is>
      </c>
      <c r="I132" s="126" t="n"/>
      <c r="J132" s="126">
        <f>(E132*F132)+(F132*I132)</f>
        <v/>
      </c>
      <c r="K132" s="124" t="inlineStr">
        <is>
          <t>X</t>
        </is>
      </c>
      <c r="L132" s="128" t="n">
        <v>1</v>
      </c>
      <c r="M132" s="124" t="n">
        <v>1</v>
      </c>
      <c r="N132" s="225" t="inlineStr">
        <is>
          <t>RPE7</t>
        </is>
      </c>
      <c r="O132" s="129">
        <f>$I132</f>
        <v/>
      </c>
      <c r="P132" s="126">
        <f>(K132*L132)+(L132*O132)</f>
        <v/>
      </c>
      <c r="Q132" s="124" t="inlineStr">
        <is>
          <t>X</t>
        </is>
      </c>
      <c r="R132" s="128" t="n">
        <v>1</v>
      </c>
      <c r="S132" s="124" t="n">
        <v>1</v>
      </c>
      <c r="T132" s="225" t="inlineStr">
        <is>
          <t>RPE8</t>
        </is>
      </c>
      <c r="U132" s="129">
        <f>$I132</f>
        <v/>
      </c>
      <c r="V132" s="126">
        <f>(Q132*R132)+(R132*U132)</f>
        <v/>
      </c>
      <c r="W132" s="124" t="inlineStr">
        <is>
          <t>X</t>
        </is>
      </c>
      <c r="X132" s="128" t="n">
        <v>3</v>
      </c>
      <c r="Y132" s="124" t="n">
        <v>1</v>
      </c>
      <c r="Z132" s="225" t="inlineStr">
        <is>
          <t>RPE10</t>
        </is>
      </c>
      <c r="AA132">
        <f>$I132</f>
        <v/>
      </c>
      <c r="AB132" s="321">
        <f>(W132*X132)+(X132*AA132)</f>
        <v/>
      </c>
      <c r="AC132" s="32" t="n"/>
      <c r="AD132" s="24" t="n"/>
      <c r="AE132" s="24" t="n"/>
      <c r="AF132" s="24" t="n"/>
    </row>
    <row r="133" ht="16.15" customHeight="1">
      <c r="C133" s="77" t="n"/>
      <c r="D133" s="123" t="n"/>
      <c r="E133" s="124" t="inlineStr">
        <is>
          <t>X</t>
        </is>
      </c>
      <c r="F133" s="128" t="n">
        <v>5</v>
      </c>
      <c r="G133" s="124" t="n">
        <v>3</v>
      </c>
      <c r="H133" s="226" t="inlineStr">
        <is>
          <t>&lt;40</t>
        </is>
      </c>
      <c r="I133" s="126" t="n"/>
      <c r="J133" s="126" t="n"/>
      <c r="K133" s="124" t="inlineStr">
        <is>
          <t>X</t>
        </is>
      </c>
      <c r="L133" s="128" t="n">
        <v>4</v>
      </c>
      <c r="M133" s="124" t="n">
        <v>3</v>
      </c>
      <c r="N133" s="226" t="inlineStr">
        <is>
          <t>&lt;41</t>
        </is>
      </c>
      <c r="O133" s="129" t="n"/>
      <c r="P133" s="126" t="n"/>
      <c r="Q133" s="124" t="inlineStr">
        <is>
          <t>X</t>
        </is>
      </c>
      <c r="R133" s="128" t="n">
        <v>3</v>
      </c>
      <c r="S133" s="124" t="n">
        <v>3</v>
      </c>
      <c r="T133" s="226" t="inlineStr">
        <is>
          <t>&lt;43</t>
        </is>
      </c>
      <c r="U133" s="129" t="n"/>
      <c r="V133" s="126" t="n"/>
      <c r="W133" s="124" t="n"/>
      <c r="X133" s="128" t="n"/>
      <c r="Y133" s="124" t="n"/>
      <c r="Z133" s="130" t="n"/>
      <c r="AB133" s="321" t="n"/>
      <c r="AC133" s="32" t="n"/>
      <c r="AD133" s="24" t="n"/>
      <c r="AE133" s="24" t="n"/>
      <c r="AF133" s="24" t="n"/>
    </row>
    <row r="134" ht="16.15" customHeight="1">
      <c r="C134" s="77" t="n"/>
      <c r="D134" s="78" t="inlineStr">
        <is>
          <t>Stacco da terra dita stese</t>
        </is>
      </c>
      <c r="E134" s="93" t="inlineStr">
        <is>
          <t>X</t>
        </is>
      </c>
      <c r="F134" s="34" t="n">
        <v>6</v>
      </c>
      <c r="G134" s="93" t="n">
        <v>3</v>
      </c>
      <c r="H134" s="127" t="inlineStr">
        <is>
          <t>RPE7</t>
        </is>
      </c>
      <c r="I134" s="321" t="n"/>
      <c r="J134" s="321">
        <f>(E134*F134)+(F134*I134)</f>
        <v/>
      </c>
      <c r="K134" s="93" t="inlineStr">
        <is>
          <t>X</t>
        </is>
      </c>
      <c r="L134" s="34" t="n">
        <v>6</v>
      </c>
      <c r="M134" s="93" t="n">
        <v>3</v>
      </c>
      <c r="N134" s="127" t="inlineStr">
        <is>
          <t>RPE8</t>
        </is>
      </c>
      <c r="O134">
        <f>$I134</f>
        <v/>
      </c>
      <c r="P134" s="321">
        <f>(K134*L134)+(L134*O134)</f>
        <v/>
      </c>
      <c r="Q134" s="93" t="inlineStr">
        <is>
          <t>X</t>
        </is>
      </c>
      <c r="R134" s="34" t="n">
        <v>6</v>
      </c>
      <c r="S134" s="93" t="n">
        <v>2</v>
      </c>
      <c r="T134" s="127" t="inlineStr">
        <is>
          <t>RPE7</t>
        </is>
      </c>
      <c r="U134">
        <f>$I134</f>
        <v/>
      </c>
      <c r="V134" s="321">
        <f>(Q134*R134)+(R134*U134)</f>
        <v/>
      </c>
      <c r="W134" s="93" t="inlineStr">
        <is>
          <t>\</t>
        </is>
      </c>
      <c r="X134" s="34" t="inlineStr">
        <is>
          <t>\</t>
        </is>
      </c>
      <c r="Y134" s="93" t="inlineStr">
        <is>
          <t>\</t>
        </is>
      </c>
      <c r="Z134" s="222" t="inlineStr">
        <is>
          <t>\</t>
        </is>
      </c>
      <c r="AA134">
        <f>$I134</f>
        <v/>
      </c>
      <c r="AB134" s="321">
        <f>(W134*X134)+(X134*AA134)</f>
        <v/>
      </c>
      <c r="AC134" s="32" t="n"/>
      <c r="AD134" s="24" t="n"/>
      <c r="AE134" s="24" t="n"/>
      <c r="AF134" s="24" t="n"/>
    </row>
    <row r="135" ht="15.75" customHeight="1">
      <c r="C135" s="77" t="n"/>
      <c r="D135" s="123" t="inlineStr">
        <is>
          <t>Sospensioni bidito semiarcuate scaricate</t>
        </is>
      </c>
      <c r="E135" s="124" t="n">
        <v>5</v>
      </c>
      <c r="F135" s="124" t="n">
        <v>4</v>
      </c>
      <c r="G135" s="124" t="n">
        <v>2</v>
      </c>
      <c r="H135" s="130" t="inlineStr">
        <is>
          <t>RPE8</t>
        </is>
      </c>
      <c r="I135" s="126" t="n"/>
      <c r="J135" s="126">
        <f>(E135*F135)+(F135*I135)</f>
        <v/>
      </c>
      <c r="K135" s="124" t="n">
        <v>5</v>
      </c>
      <c r="L135" s="124" t="n">
        <v>4</v>
      </c>
      <c r="M135" s="124" t="n">
        <v>3</v>
      </c>
      <c r="N135" s="130" t="inlineStr">
        <is>
          <t>RPE8</t>
        </is>
      </c>
      <c r="O135" s="129">
        <f>$I135</f>
        <v/>
      </c>
      <c r="P135" s="126">
        <f>(K135*L135)+(L135*O135)</f>
        <v/>
      </c>
      <c r="Q135" s="124" t="n">
        <v>5</v>
      </c>
      <c r="R135" s="124" t="n">
        <v>4</v>
      </c>
      <c r="S135" s="124" t="n">
        <v>3</v>
      </c>
      <c r="T135" s="130" t="inlineStr">
        <is>
          <t>RPE7</t>
        </is>
      </c>
      <c r="U135" s="129">
        <f>$I135</f>
        <v/>
      </c>
      <c r="V135" s="126">
        <f>(Q135*R135)+(R135*U135)</f>
        <v/>
      </c>
      <c r="W135" s="124" t="n">
        <v>5</v>
      </c>
      <c r="X135" s="124" t="n">
        <v>4</v>
      </c>
      <c r="Y135" s="124" t="n">
        <v>2</v>
      </c>
      <c r="Z135" s="130" t="inlineStr">
        <is>
          <t>RPE6</t>
        </is>
      </c>
      <c r="AA135" s="129">
        <f>$I135</f>
        <v/>
      </c>
      <c r="AB135" s="126">
        <f>(W135*X135)+(X135*AA135)</f>
        <v/>
      </c>
      <c r="AC135" s="32" t="n"/>
      <c r="AD135" s="7" t="n"/>
    </row>
    <row r="136" ht="15.75" customHeight="1">
      <c r="C136" s="77" t="n"/>
      <c r="D136" s="78" t="inlineStr">
        <is>
          <t>Sospensioni micros 10mm (BELLO ATTIVO)</t>
        </is>
      </c>
      <c r="E136" s="321" t="n">
        <v>5</v>
      </c>
      <c r="F136" s="93" t="n">
        <v>2</v>
      </c>
      <c r="G136" s="93" t="n">
        <v>3</v>
      </c>
      <c r="H136" s="127" t="inlineStr">
        <is>
          <t>RPE8</t>
        </is>
      </c>
      <c r="I136" s="321" t="n"/>
      <c r="J136" s="321">
        <f>(E136*F136)+(F136*I136)</f>
        <v/>
      </c>
      <c r="K136" s="321" t="n">
        <v>5</v>
      </c>
      <c r="L136" s="93" t="n">
        <v>2</v>
      </c>
      <c r="M136" s="93" t="n">
        <v>3</v>
      </c>
      <c r="N136" s="127" t="inlineStr">
        <is>
          <t>RPE7</t>
        </is>
      </c>
      <c r="O136">
        <f>$I136</f>
        <v/>
      </c>
      <c r="P136" s="321">
        <f>(K136*L136)+(L136*O136)</f>
        <v/>
      </c>
      <c r="Q136" s="321" t="n">
        <v>5</v>
      </c>
      <c r="R136" s="93" t="n">
        <v>2</v>
      </c>
      <c r="S136" s="93" t="n">
        <v>2</v>
      </c>
      <c r="T136" s="127" t="inlineStr">
        <is>
          <t>RPE6</t>
        </is>
      </c>
      <c r="U136">
        <f>$I136</f>
        <v/>
      </c>
      <c r="V136" s="321">
        <f>(Q136*R136)+(R136*U136)</f>
        <v/>
      </c>
      <c r="W136" s="321" t="n">
        <v>5</v>
      </c>
      <c r="X136" s="93" t="n">
        <v>2</v>
      </c>
      <c r="Y136" s="93" t="n">
        <v>2</v>
      </c>
      <c r="Z136" s="127" t="inlineStr">
        <is>
          <t>RPE6</t>
        </is>
      </c>
      <c r="AA136">
        <f>$I136</f>
        <v/>
      </c>
      <c r="AB136" s="321">
        <f>(W136*X136)+(X136*AA136)</f>
        <v/>
      </c>
      <c r="AC136" s="32" t="n"/>
    </row>
    <row r="137" ht="15.75" customHeight="1">
      <c r="C137" s="77" t="n"/>
      <c r="D137" s="123" t="inlineStr">
        <is>
          <t>Sospensione due mani 20mm</t>
        </is>
      </c>
      <c r="E137" s="157" t="inlineStr">
        <is>
          <t>AMRAP</t>
        </is>
      </c>
      <c r="F137" s="124" t="n">
        <v>1</v>
      </c>
      <c r="G137" s="124" t="n">
        <v>1</v>
      </c>
      <c r="H137" s="125" t="n">
        <v>25</v>
      </c>
      <c r="I137" s="126" t="n"/>
      <c r="J137" s="126" t="n"/>
      <c r="K137" s="157" t="inlineStr">
        <is>
          <t>AMRAP</t>
        </is>
      </c>
      <c r="L137" s="124" t="n">
        <v>1</v>
      </c>
      <c r="M137" s="124" t="n">
        <v>1</v>
      </c>
      <c r="N137" s="125" t="n">
        <v>25</v>
      </c>
      <c r="O137" s="126" t="n"/>
      <c r="P137" s="126" t="n"/>
      <c r="Q137" s="157" t="inlineStr">
        <is>
          <t>AMRAP</t>
        </is>
      </c>
      <c r="R137" s="124" t="n">
        <v>1</v>
      </c>
      <c r="S137" s="124" t="n">
        <v>1</v>
      </c>
      <c r="T137" s="125" t="n">
        <v>25</v>
      </c>
      <c r="U137" s="126" t="n"/>
      <c r="V137" s="126" t="n"/>
      <c r="W137" s="157" t="inlineStr">
        <is>
          <t>AMRAP</t>
        </is>
      </c>
      <c r="X137" s="124" t="n">
        <v>1</v>
      </c>
      <c r="Y137" s="124" t="n">
        <v>1</v>
      </c>
      <c r="Z137" s="125" t="n">
        <v>25</v>
      </c>
      <c r="AA137" s="126" t="n"/>
      <c r="AB137" s="126" t="n"/>
      <c r="AC137" s="32" t="n"/>
    </row>
    <row r="138" ht="15.75" customHeight="1">
      <c r="C138" s="77" t="n"/>
      <c r="D138" s="79" t="inlineStr">
        <is>
          <t>Volume totale:</t>
        </is>
      </c>
      <c r="E138" s="322">
        <f t="array" ref="E138">SUMPRODUCT((E134:E136*F134:F136)*G134:G136)</f>
        <v/>
      </c>
      <c r="H138" s="337" t="n"/>
      <c r="I138" s="321" t="n"/>
      <c r="J138" s="321" t="n"/>
      <c r="K138" s="322">
        <f t="array" ref="K138">SUMPRODUCT((K134:K136*L134:L136)*M134:M136)</f>
        <v/>
      </c>
      <c r="N138" s="337" t="n"/>
      <c r="O138" s="321" t="n"/>
      <c r="P138" s="321" t="n"/>
      <c r="Q138" s="322">
        <f t="array" ref="Q138">SUMPRODUCT((Q134:Q136*R134:R136)*S134:S136)</f>
        <v/>
      </c>
      <c r="T138" s="337" t="n"/>
      <c r="U138" s="321" t="n"/>
      <c r="V138" s="321" t="n"/>
      <c r="W138" s="322">
        <f t="array" ref="W138">SUMPRODUCT((W134:W136*X134:X136)*Y134:Y136)</f>
        <v/>
      </c>
      <c r="Z138" s="337" t="n"/>
      <c r="AA138" s="321" t="n"/>
      <c r="AB138" s="321" t="n"/>
      <c r="AC138" s="32" t="n"/>
    </row>
    <row r="139" ht="15.6" customHeight="1">
      <c r="C139" s="77" t="n"/>
      <c r="D139" s="79" t="n"/>
      <c r="E139" s="80" t="n"/>
      <c r="F139" s="321" t="n"/>
      <c r="G139" s="321" t="n"/>
      <c r="H139" s="322" t="n"/>
      <c r="I139" s="321" t="n"/>
      <c r="J139" s="321" t="n"/>
      <c r="K139" s="321" t="n"/>
      <c r="L139" s="321" t="n"/>
      <c r="M139" s="321" t="n"/>
      <c r="N139" s="322" t="n"/>
      <c r="O139" s="321" t="n"/>
      <c r="P139" s="321" t="n"/>
      <c r="Q139" s="321" t="n"/>
      <c r="R139" s="321" t="n"/>
      <c r="S139" s="321" t="n"/>
      <c r="T139" s="322" t="n"/>
      <c r="U139" s="321" t="n"/>
      <c r="V139" s="321" t="n"/>
      <c r="W139" s="80" t="n"/>
      <c r="X139" s="321" t="n"/>
      <c r="Y139" s="321" t="n"/>
      <c r="Z139" s="322" t="n"/>
      <c r="AA139" s="321" t="n"/>
      <c r="AB139" s="321" t="n"/>
      <c r="AC139" s="47" t="n"/>
    </row>
    <row r="140" ht="15.6" customHeight="1">
      <c r="C140" s="77" t="n"/>
      <c r="D140" s="79" t="inlineStr">
        <is>
          <t xml:space="preserve">Recupero:  </t>
        </is>
      </c>
      <c r="E140" s="315" t="inlineStr">
        <is>
          <t xml:space="preserve"> Tra le ripetizioni 12" - No tra stacchi					</t>
        </is>
      </c>
      <c r="H140" s="337" t="n"/>
      <c r="I140" s="316" t="n"/>
      <c r="J140" s="316" t="n"/>
      <c r="K140" s="315" t="inlineStr">
        <is>
          <t xml:space="preserve"> Tra le ripetizioni 12" - No tra stacchi					</t>
        </is>
      </c>
      <c r="N140" s="337" t="n"/>
      <c r="O140" s="316" t="n"/>
      <c r="P140" s="316" t="n"/>
      <c r="Q140" s="315" t="inlineStr">
        <is>
          <t xml:space="preserve"> Tra le ripetizioni 12" - No tra stacchi					</t>
        </is>
      </c>
      <c r="T140" s="337" t="n"/>
      <c r="U140" s="316" t="n"/>
      <c r="V140" s="316" t="n"/>
      <c r="W140" s="315" t="inlineStr">
        <is>
          <t xml:space="preserve"> Tra le ripetizioni 12" - No tra stacchi					</t>
        </is>
      </c>
      <c r="Z140" s="337" t="n"/>
      <c r="AA140" s="314" t="n"/>
      <c r="AB140" s="314" t="n"/>
      <c r="AC140" s="36" t="n"/>
    </row>
    <row r="141" ht="15.6" customHeight="1">
      <c r="C141" s="77" t="n"/>
      <c r="D141" s="79" t="n"/>
      <c r="E141" s="317" t="inlineStr">
        <is>
          <t xml:space="preserve"> Tra le serie 2'+</t>
        </is>
      </c>
      <c r="H141" s="337" t="n"/>
      <c r="I141" s="316" t="n"/>
      <c r="J141" s="316" t="n"/>
      <c r="K141" s="317" t="inlineStr">
        <is>
          <t xml:space="preserve"> Tra le serie 2'+</t>
        </is>
      </c>
      <c r="N141" s="337" t="n"/>
      <c r="O141" s="316" t="n"/>
      <c r="P141" s="316" t="n"/>
      <c r="Q141" s="317" t="inlineStr">
        <is>
          <t xml:space="preserve"> Tra le serie 2'+</t>
        </is>
      </c>
      <c r="T141" s="337" t="n"/>
      <c r="U141" s="316" t="n"/>
      <c r="V141" s="316" t="n"/>
      <c r="W141" s="317" t="inlineStr">
        <is>
          <t xml:space="preserve"> Tra le serie 2'+</t>
        </is>
      </c>
      <c r="Z141" s="337" t="n"/>
      <c r="AA141" s="316" t="n"/>
      <c r="AB141" s="316" t="n"/>
      <c r="AC141" s="36" t="n"/>
    </row>
    <row r="142" ht="15.75" customHeight="1">
      <c r="C142" s="77" t="n"/>
      <c r="D142" s="80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8" t="n"/>
    </row>
    <row r="143" ht="15.75" customHeight="1">
      <c r="C143" s="77" t="n"/>
      <c r="D143" s="80" t="inlineStr">
        <is>
          <t xml:space="preserve">1RM stacco da terra </t>
        </is>
      </c>
      <c r="E143" s="37" t="n">
        <v>53</v>
      </c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8" t="n"/>
    </row>
    <row r="144" ht="15.75" customHeight="1">
      <c r="C144" s="77" t="n"/>
      <c r="D144" s="80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8" t="n"/>
    </row>
    <row r="145" ht="14.45" customHeight="1">
      <c r="C145" s="77" t="n"/>
      <c r="D145" s="311" t="inlineStr">
        <is>
          <t>Esegui le sospensioni senza arrivare mai allo sfinimento (tranne nell'AMRAP), nel caso siano facili aumenta la zavorra</t>
        </is>
      </c>
      <c r="X145" s="39" t="n"/>
      <c r="Y145" s="39" t="n"/>
      <c r="Z145" s="39" t="n"/>
      <c r="AA145" s="39" t="n"/>
      <c r="AB145" s="39" t="n"/>
      <c r="AC145" s="40" t="n"/>
    </row>
    <row r="146" ht="14.45" customHeight="1">
      <c r="C146" s="77" t="n"/>
      <c r="D146" s="311" t="inlineStr">
        <is>
          <t>Esegui l'AMRAP entrambi i giorni di allenamento recuperando 3' prima di farlo</t>
        </is>
      </c>
      <c r="S146" s="311" t="n"/>
      <c r="T146" s="311" t="n"/>
      <c r="U146" s="311" t="n"/>
      <c r="V146" s="311" t="n"/>
      <c r="W146" s="311" t="n"/>
      <c r="X146" s="39" t="n"/>
      <c r="Y146" s="39" t="n"/>
      <c r="Z146" s="39" t="n"/>
      <c r="AA146" s="39" t="n"/>
      <c r="AB146" s="39" t="n"/>
      <c r="AC146" s="40" t="n"/>
    </row>
    <row r="147" ht="15.75" customHeight="1" thickBot="1">
      <c r="C147" s="81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313" t="n">
        <v>45551</v>
      </c>
      <c r="Z147" s="9" t="n"/>
      <c r="AA147" s="9" t="n"/>
      <c r="AB147" s="9" t="n"/>
      <c r="AC147" s="338" t="n"/>
    </row>
    <row r="148" ht="15.75" customHeight="1" thickTop="1"/>
  </sheetData>
  <mergeCells count="156">
    <mergeCell ref="K14:N14"/>
    <mergeCell ref="W52:Z52"/>
    <mergeCell ref="K125:N125"/>
    <mergeCell ref="D109:W109"/>
    <mergeCell ref="K7:N7"/>
    <mergeCell ref="E125:H125"/>
    <mergeCell ref="K65:N65"/>
    <mergeCell ref="Q128:T128"/>
    <mergeCell ref="L3:M3"/>
    <mergeCell ref="K127:N127"/>
    <mergeCell ref="C4:Y4"/>
    <mergeCell ref="Q7:T7"/>
    <mergeCell ref="D146:R146"/>
    <mergeCell ref="L39:M39"/>
    <mergeCell ref="W128:Z128"/>
    <mergeCell ref="K104:N104"/>
    <mergeCell ref="Q127:T127"/>
    <mergeCell ref="W89:Z89"/>
    <mergeCell ref="C40:Y40"/>
    <mergeCell ref="W65:Z65"/>
    <mergeCell ref="E82:H82"/>
    <mergeCell ref="D110:R110"/>
    <mergeCell ref="K138:N138"/>
    <mergeCell ref="E63:H63"/>
    <mergeCell ref="E128:H128"/>
    <mergeCell ref="W63:Z63"/>
    <mergeCell ref="D71:W71"/>
    <mergeCell ref="W50:Z50"/>
    <mergeCell ref="Q63:T63"/>
    <mergeCell ref="Q50:T50"/>
    <mergeCell ref="E65:H65"/>
    <mergeCell ref="K140:N140"/>
    <mergeCell ref="W91:Z91"/>
    <mergeCell ref="E105:H105"/>
    <mergeCell ref="D33:W33"/>
    <mergeCell ref="K130:N130"/>
    <mergeCell ref="E27:H27"/>
    <mergeCell ref="Q27:T27"/>
    <mergeCell ref="W102:Z102"/>
    <mergeCell ref="Z79:AC79"/>
    <mergeCell ref="E91:H91"/>
    <mergeCell ref="K53:N53"/>
    <mergeCell ref="Q17:T17"/>
    <mergeCell ref="C41:AC41"/>
    <mergeCell ref="W14:Z14"/>
    <mergeCell ref="Q66:T66"/>
    <mergeCell ref="W28:Z28"/>
    <mergeCell ref="E102:H102"/>
    <mergeCell ref="Q53:T53"/>
    <mergeCell ref="K118:N118"/>
    <mergeCell ref="Q125:T125"/>
    <mergeCell ref="E14:H14"/>
    <mergeCell ref="K89:N89"/>
    <mergeCell ref="E127:H127"/>
    <mergeCell ref="W127:Z127"/>
    <mergeCell ref="W55:Z55"/>
    <mergeCell ref="Q102:T102"/>
    <mergeCell ref="Q55:T55"/>
    <mergeCell ref="W104:Z104"/>
    <mergeCell ref="K63:N63"/>
    <mergeCell ref="K50:N50"/>
    <mergeCell ref="Z115:AC115"/>
    <mergeCell ref="K105:N105"/>
    <mergeCell ref="K43:N43"/>
    <mergeCell ref="W16:Z16"/>
    <mergeCell ref="K52:N52"/>
    <mergeCell ref="E104:H104"/>
    <mergeCell ref="W105:Z105"/>
    <mergeCell ref="W43:Z43"/>
    <mergeCell ref="C5:AC5"/>
    <mergeCell ref="K27:N27"/>
    <mergeCell ref="Q89:T89"/>
    <mergeCell ref="Q65:T65"/>
    <mergeCell ref="W27:Z27"/>
    <mergeCell ref="Y147:AC147"/>
    <mergeCell ref="Q105:T105"/>
    <mergeCell ref="K17:N17"/>
    <mergeCell ref="D34:K34"/>
    <mergeCell ref="K82:N82"/>
    <mergeCell ref="E16:H16"/>
    <mergeCell ref="W17:Z17"/>
    <mergeCell ref="W130:Z130"/>
    <mergeCell ref="E25:H25"/>
    <mergeCell ref="W82:Z82"/>
    <mergeCell ref="C80:AC80"/>
    <mergeCell ref="K19:N19"/>
    <mergeCell ref="K141:N141"/>
    <mergeCell ref="E66:H66"/>
    <mergeCell ref="K28:N28"/>
    <mergeCell ref="Q104:T104"/>
    <mergeCell ref="W19:Z19"/>
    <mergeCell ref="Z40:AC40"/>
    <mergeCell ref="Q91:T91"/>
    <mergeCell ref="E53:H53"/>
    <mergeCell ref="W53:Z53"/>
    <mergeCell ref="Y35:AC35"/>
    <mergeCell ref="E50:H50"/>
    <mergeCell ref="Q140:T140"/>
    <mergeCell ref="K25:N25"/>
    <mergeCell ref="E130:H130"/>
    <mergeCell ref="K92:N92"/>
    <mergeCell ref="W25:Z25"/>
    <mergeCell ref="E55:H55"/>
    <mergeCell ref="Q28:T28"/>
    <mergeCell ref="E52:H52"/>
    <mergeCell ref="E141:H141"/>
    <mergeCell ref="E92:H92"/>
    <mergeCell ref="W118:Z118"/>
    <mergeCell ref="Q52:T52"/>
    <mergeCell ref="L114:M114"/>
    <mergeCell ref="K55:N55"/>
    <mergeCell ref="Q92:T92"/>
    <mergeCell ref="C115:Y115"/>
    <mergeCell ref="E94:H94"/>
    <mergeCell ref="W94:Z94"/>
    <mergeCell ref="Q14:T14"/>
    <mergeCell ref="Y111:AC111"/>
    <mergeCell ref="Q94:T94"/>
    <mergeCell ref="W141:Z141"/>
    <mergeCell ref="C38:D38"/>
    <mergeCell ref="E118:H118"/>
    <mergeCell ref="W125:Z125"/>
    <mergeCell ref="W7:Z7"/>
    <mergeCell ref="E89:H89"/>
    <mergeCell ref="E7:H7"/>
    <mergeCell ref="Q138:T138"/>
    <mergeCell ref="K128:N128"/>
    <mergeCell ref="L78:M78"/>
    <mergeCell ref="K66:N66"/>
    <mergeCell ref="C79:Y79"/>
    <mergeCell ref="E43:H43"/>
    <mergeCell ref="Q16:T16"/>
    <mergeCell ref="Y73:AC73"/>
    <mergeCell ref="Q25:T25"/>
    <mergeCell ref="K16:N16"/>
    <mergeCell ref="Q43:T43"/>
    <mergeCell ref="D145:W145"/>
    <mergeCell ref="E17:H17"/>
    <mergeCell ref="E140:H140"/>
    <mergeCell ref="Q130:T130"/>
    <mergeCell ref="W92:Z92"/>
    <mergeCell ref="D72:Q72"/>
    <mergeCell ref="K91:N91"/>
    <mergeCell ref="Q82:T82"/>
    <mergeCell ref="E138:H138"/>
    <mergeCell ref="E19:H19"/>
    <mergeCell ref="K94:N94"/>
    <mergeCell ref="Q118:T118"/>
    <mergeCell ref="W138:Z138"/>
    <mergeCell ref="E28:H28"/>
    <mergeCell ref="Q141:T141"/>
    <mergeCell ref="Q19:T19"/>
    <mergeCell ref="W66:Z66"/>
    <mergeCell ref="K102:N102"/>
    <mergeCell ref="W140:Z140"/>
    <mergeCell ref="C116:AC116"/>
  </mergeCells>
  <pageMargins left="0.2362204724409449" right="0.2362204724409449" top="0.7480314960629921" bottom="0.7480314960629921" header="0.3149606299212598" footer="0.3149606299212598"/>
  <pageSetup orientation="portrait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2026-04-16T10:15:11Z</dcterms:modified>
  <cp:lastModifiedBy>Samuele Malavasi</cp:lastModifiedBy>
</cp:coreProperties>
</file>