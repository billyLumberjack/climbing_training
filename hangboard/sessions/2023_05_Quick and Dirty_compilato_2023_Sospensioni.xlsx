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Questa_cartella_di_lavoro"/>
  <sheets>
    <sheet xmlns:r="http://schemas.openxmlformats.org/officeDocument/2006/relationships" name="2023_Sospension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D/M/YYYY"/>
    <numFmt numFmtId="165" formatCode="0.0"/>
    <numFmt numFmtId="166" formatCode="[$-410]d\-mmm"/>
  </numFmts>
  <fonts count="38">
    <font>
      <name val="Calibri"/>
      <color theme="1"/>
      <sz val="11"/>
      <scheme val="minor"/>
    </font>
    <font>
      <name val="Calibri"/>
      <color theme="1"/>
      <scheme val="minor"/>
    </font>
    <font>
      <name val="Calibri"/>
      <color theme="1"/>
      <sz val="11"/>
    </font>
    <font>
      <name val="Calibri"/>
      <b val="1"/>
      <color theme="0"/>
      <sz val="11"/>
    </font>
    <font>
      <name val="Calibri"/>
      <b val="1"/>
      <color rgb="FF44546A"/>
      <sz val="11"/>
    </font>
    <font>
      <name val="Calibri"/>
      <b val="1"/>
      <color theme="1"/>
      <sz val="11"/>
    </font>
    <font>
      <name val="Calibri"/>
      <b val="1"/>
      <color theme="1"/>
      <sz val="16"/>
    </font>
    <font>
      <name val="Calibri"/>
      <color theme="1"/>
      <sz val="14"/>
    </font>
    <font/>
    <font>
      <name val="Pinyon Script"/>
      <color rgb="FF2E75B5"/>
      <sz val="48"/>
    </font>
    <font>
      <name val="Calibri"/>
      <b val="1"/>
      <color theme="1"/>
      <sz val="22"/>
    </font>
    <font>
      <name val="Calibri"/>
      <color theme="0"/>
      <sz val="14"/>
    </font>
    <font>
      <name val="Calibri"/>
      <b val="1"/>
      <color theme="0"/>
      <sz val="14"/>
    </font>
    <font>
      <name val="Calibri"/>
      <color rgb="FF0070C0"/>
      <sz val="14"/>
      <u val="single"/>
    </font>
    <font>
      <name val="Calibri"/>
      <color theme="10"/>
      <sz val="14"/>
      <u val="single"/>
    </font>
    <font>
      <name val="Calibri"/>
      <color theme="10"/>
      <sz val="14"/>
      <u val="single"/>
    </font>
    <font>
      <name val="Calibri"/>
      <color rgb="FF0070C0"/>
      <sz val="14"/>
      <u val="single"/>
    </font>
    <font>
      <name val="Calibri"/>
      <color rgb="FF0070C0"/>
      <sz val="14"/>
      <u val="single"/>
    </font>
    <font>
      <name val="Calibri"/>
      <color theme="10"/>
      <sz val="14"/>
      <u val="single"/>
    </font>
    <font>
      <name val="Calibri"/>
      <b val="1"/>
      <color theme="1"/>
      <sz val="14"/>
    </font>
    <font>
      <name val="Calibri"/>
      <color theme="1"/>
      <sz val="14"/>
      <u val="single"/>
    </font>
    <font>
      <name val="Arial"/>
      <color theme="1"/>
      <sz val="14"/>
    </font>
    <font>
      <name val="Rockwell"/>
      <color theme="1"/>
      <sz val="12"/>
    </font>
    <font>
      <name val="Rockwell"/>
      <color theme="1"/>
      <sz val="11"/>
    </font>
    <font>
      <name val="Pinyon Script"/>
      <color rgb="FF0070C0"/>
      <sz val="28"/>
    </font>
    <font>
      <name val="Calibri"/>
      <color theme="1"/>
      <sz val="10"/>
    </font>
    <font>
      <name val="Rockwell"/>
      <color theme="1"/>
      <sz val="13"/>
    </font>
    <font>
      <name val="Rockwell"/>
      <color theme="0"/>
      <sz val="12"/>
    </font>
    <font>
      <name val="Rockwell"/>
      <color theme="0"/>
      <sz val="11"/>
    </font>
    <font>
      <name val="Rockwell"/>
      <color theme="1"/>
      <sz val="8"/>
    </font>
    <font>
      <name val="Rockwell"/>
      <color rgb="FF00B050"/>
      <sz val="12"/>
    </font>
    <font>
      <name val="Calibri"/>
      <color theme="1"/>
      <sz val="24"/>
    </font>
    <font>
      <name val="Rockwell"/>
      <color theme="0"/>
      <sz val="13"/>
    </font>
    <font>
      <name val="Calibri"/>
      <b val="1"/>
      <color theme="0"/>
      <sz val="12"/>
    </font>
    <font>
      <name val="Calibri"/>
      <color rgb="FF9C5700"/>
      <sz val="11"/>
    </font>
    <font>
      <name val="Calibri"/>
      <color rgb="FF006100"/>
      <sz val="11"/>
    </font>
    <font>
      <name val="Calibri"/>
      <color rgb="FF000000"/>
      <sz val="11"/>
    </font>
    <font>
      <name val="Calibri"/>
      <b val="1"/>
      <i val="1"/>
      <color theme="1"/>
      <sz val="11"/>
    </font>
  </fonts>
  <fills count="15">
    <fill>
      <patternFill/>
    </fill>
    <fill>
      <patternFill patternType="lightGray"/>
    </fill>
    <fill>
      <patternFill patternType="solid">
        <fgColor theme="4"/>
        <bgColor theme="4"/>
      </patternFill>
    </fill>
    <fill>
      <patternFill patternType="solid">
        <fgColor rgb="FFDEEAF6"/>
        <bgColor rgb="FFDEEAF6"/>
      </patternFill>
    </fill>
    <fill>
      <patternFill patternType="solid">
        <fgColor rgb="FF002060"/>
        <bgColor rgb="FF002060"/>
      </patternFill>
    </fill>
    <fill>
      <patternFill patternType="solid">
        <fgColor rgb="FF00B0F0"/>
        <bgColor rgb="FF00B0F0"/>
      </patternFill>
    </fill>
    <fill>
      <patternFill patternType="solid">
        <fgColor rgb="FFD6DCE4"/>
        <bgColor rgb="FFD6DCE4"/>
      </patternFill>
    </fill>
    <fill>
      <patternFill patternType="solid">
        <fgColor rgb="FFFFFFFF"/>
        <bgColor rgb="FFFFFFFF"/>
      </patternFill>
    </fill>
    <fill>
      <patternFill patternType="solid">
        <fgColor rgb="FF8EAADB"/>
        <bgColor rgb="FF8EAADB"/>
      </patternFill>
    </fill>
    <fill>
      <patternFill patternType="solid">
        <fgColor rgb="FF0070C0"/>
        <bgColor rgb="FF0070C0"/>
      </patternFill>
    </fill>
    <fill>
      <patternFill patternType="solid">
        <fgColor rgb="FF00B050"/>
        <bgColor rgb="FF00B050"/>
      </patternFill>
    </fill>
    <fill>
      <patternFill patternType="solid">
        <fgColor rgb="FFFFEB9C"/>
        <bgColor rgb="FFFFEB9C"/>
      </patternFill>
    </fill>
    <fill>
      <patternFill patternType="solid">
        <fgColor rgb="FF2E75B5"/>
        <bgColor rgb="FF2E75B5"/>
      </patternFill>
    </fill>
    <fill>
      <patternFill patternType="solid">
        <fgColor rgb="FFC6EFCE"/>
        <bgColor rgb="FFC6EFCE"/>
      </patternFill>
    </fill>
    <fill>
      <patternFill patternType="solid">
        <fgColor rgb="FFDDEBF7"/>
        <bgColor rgb="FFDDEBF7"/>
      </patternFill>
    </fill>
  </fills>
  <borders count="91">
    <border/>
    <border>
      <left/>
      <right style="thin">
        <color rgb="FF9CC2E5"/>
      </right>
      <top style="thin">
        <color rgb="FF9CC2E5"/>
      </top>
      <bottom style="thin">
        <color rgb="FF9CC2E5"/>
      </bottom>
    </border>
    <border>
      <left style="thin">
        <color rgb="FF9CC2E5"/>
      </left>
      <right/>
      <top style="thin">
        <color rgb="FF9CC2E5"/>
      </top>
      <bottom style="thin">
        <color rgb="FF9CC2E5"/>
      </bottom>
    </border>
    <border>
      <bottom style="medium">
        <color rgb="FF9CC2E5"/>
      </bottom>
    </border>
    <border>
      <left style="thin">
        <color rgb="FF9CC2E5"/>
      </left>
      <top style="thin">
        <color rgb="FF9CC2E5"/>
      </top>
      <bottom style="thin">
        <color rgb="FF9CC2E5"/>
      </bottom>
    </border>
    <border>
      <left style="thin">
        <color rgb="FF9CC2E5"/>
      </left>
      <right/>
      <top/>
      <bottom style="thin">
        <color rgb="FF9CC2E5"/>
      </bottom>
    </border>
    <border>
      <left style="thin">
        <color rgb="FF9CC2E5"/>
      </left>
    </border>
    <border>
      <bottom style="thick">
        <color rgb="FF000000"/>
      </bottom>
    </border>
    <border>
      <left style="thick">
        <color rgb="FF000000"/>
      </left>
      <top style="thick">
        <color rgb="FF000000"/>
      </top>
      <bottom style="medium">
        <color rgb="FF000000"/>
      </bottom>
    </border>
    <border>
      <top style="thick">
        <color rgb="FF000000"/>
      </top>
      <bottom style="medium">
        <color rgb="FF000000"/>
      </bottom>
    </border>
    <border>
      <right style="thick">
        <color rgb="FF000000"/>
      </right>
      <top style="thick">
        <color rgb="FF000000"/>
      </top>
      <bottom style="medium">
        <color rgb="FF000000"/>
      </bottom>
    </border>
    <border>
      <left style="thick">
        <color rgb="FF000000"/>
      </left>
      <right/>
      <top style="medium">
        <color rgb="FF000000"/>
      </top>
      <bottom style="medium">
        <color rgb="FF000000"/>
      </bottom>
    </border>
    <border>
      <left/>
      <right/>
      <top style="medium">
        <color rgb="FF000000"/>
      </top>
      <bottom style="medium">
        <color rgb="FF000000"/>
      </bottom>
    </border>
    <border>
      <left/>
      <right style="thick">
        <color rgb="FF000000"/>
      </right>
      <top style="medium">
        <color rgb="FF000000"/>
      </top>
      <bottom style="medium">
        <color rgb="FF000000"/>
      </bottom>
    </border>
    <border>
      <left style="thick">
        <color rgb="FF000000"/>
      </left>
      <top style="medium">
        <color rgb="FF000000"/>
      </top>
    </border>
    <border>
      <top style="medium">
        <color rgb="FF000000"/>
      </top>
    </border>
    <border>
      <right style="thick">
        <color rgb="FF000000"/>
      </right>
      <top style="medium">
        <color rgb="FF000000"/>
      </top>
    </border>
    <border>
      <left style="thick">
        <color rgb="FF000000"/>
      </left>
    </border>
    <border>
      <left/>
      <right/>
      <top/>
      <bottom/>
    </border>
    <border>
      <left/>
      <top/>
      <bottom/>
    </border>
    <border>
      <top/>
      <bottom/>
    </border>
    <border>
      <right style="thin">
        <color theme="0"/>
      </right>
      <top/>
      <bottom/>
    </border>
    <border>
      <left style="thin">
        <color theme="0"/>
      </left>
      <top/>
      <bottom/>
    </border>
    <border>
      <right style="thick">
        <color rgb="FF000000"/>
      </right>
    </border>
    <border>
      <left/>
      <right style="thick">
        <color rgb="FF000000"/>
      </right>
      <top/>
      <bottom style="thin">
        <color rgb="FF000000"/>
      </bottom>
    </border>
    <border>
      <left/>
      <right style="thin">
        <color theme="0"/>
      </right>
      <top/>
      <bottom style="thin">
        <color rgb="FF000000"/>
      </bottom>
    </border>
    <border>
      <left style="thin">
        <color theme="0"/>
      </left>
      <right style="thin">
        <color theme="0"/>
      </right>
      <top/>
      <bottom style="thin">
        <color rgb="FF000000"/>
      </bottom>
    </border>
    <border>
      <left style="thin">
        <color theme="0"/>
      </left>
      <right/>
      <top/>
      <bottom style="thin">
        <color rgb="FF000000"/>
      </bottom>
    </border>
    <border>
      <left style="thin">
        <color theme="0"/>
      </left>
      <right style="thick">
        <color rgb="FF000000"/>
      </right>
      <top/>
      <bottom style="thin">
        <color rgb="FF000000"/>
      </bottom>
    </border>
    <border>
      <left/>
      <right style="thick">
        <color rgb="FF000000"/>
      </right>
      <top/>
      <bottom/>
    </border>
    <border>
      <left style="thick">
        <color rgb="FF000000"/>
      </left>
      <right/>
      <top style="thin">
        <color rgb="FF000000"/>
      </top>
      <bottom/>
    </border>
    <border>
      <left style="thick">
        <color rgb="FF000000"/>
      </left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left/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/>
      <top style="medium">
        <color rgb="FF000000"/>
      </top>
      <bottom style="medium">
        <color rgb="FF000000"/>
      </bottom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/>
      <right style="thin">
        <color theme="0"/>
      </right>
      <top/>
      <bottom/>
    </border>
    <border>
      <left/>
      <right style="thin">
        <color rgb="FF000000"/>
      </right>
      <top/>
      <bottom/>
    </border>
    <border>
      <right style="thin">
        <color theme="0"/>
      </right>
    </border>
    <border>
      <right style="thin">
        <color rgb="FF000000"/>
      </right>
    </border>
    <border>
      <left style="thick">
        <color rgb="FF000000"/>
      </left>
      <right/>
      <top style="thick">
        <color rgb="FF000000"/>
      </top>
      <bottom style="thick">
        <color rgb="FF000000"/>
      </bottom>
    </border>
    <border>
      <left/>
      <right/>
      <top style="thick">
        <color rgb="FF000000"/>
      </top>
      <bottom style="thick">
        <color rgb="FF000000"/>
      </bottom>
    </border>
    <border>
      <left/>
      <right style="thick">
        <color rgb="FF000000"/>
      </right>
      <top style="thick">
        <color rgb="FF000000"/>
      </top>
      <bottom style="thick">
        <color rgb="FF000000"/>
      </bottom>
    </border>
    <border>
      <right/>
      <top/>
      <bottom/>
    </border>
    <border>
      <left style="thin">
        <color theme="0"/>
      </left>
      <right style="thin">
        <color theme="0"/>
      </right>
      <top/>
      <bottom/>
    </border>
    <border>
      <left style="thin">
        <color theme="0"/>
      </left>
      <right style="thin">
        <color theme="0"/>
      </right>
    </border>
    <border>
      <top style="thin">
        <color rgb="FF000000"/>
      </top>
    </border>
    <border>
      <right style="thin">
        <color theme="0"/>
      </right>
      <top style="thin">
        <color rgb="FF000000"/>
      </top>
    </border>
    <border>
      <left style="thin">
        <color theme="0"/>
      </left>
      <right style="thin">
        <color theme="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theme="0"/>
      </right>
      <top/>
      <bottom/>
    </border>
    <border>
      <left style="thin">
        <color rgb="FF000000"/>
      </left>
      <bottom style="thick">
        <color rgb="FF000000"/>
      </bottom>
    </border>
    <border>
      <right style="thin">
        <color rgb="FF000000"/>
      </right>
      <bottom style="thick">
        <color rgb="FF000000"/>
      </bottom>
    </border>
    <border>
      <top style="thick">
        <color rgb="FF000000"/>
      </top>
      <bottom style="thin">
        <color rgb="FF000000"/>
      </bottom>
    </border>
    <border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top style="thick">
        <color rgb="FF000000"/>
      </top>
      <bottom style="thin">
        <color rgb="FF000000"/>
      </bottom>
    </border>
    <border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bottom style="thin">
        <color rgb="FF9CC2E5"/>
      </bottom>
    </border>
    <border>
      <left/>
      <right/>
      <top/>
      <bottom style="thin">
        <color rgb="FF9CC2E5"/>
      </bottom>
    </border>
    <border>
      <top style="thin">
        <color rgb="FF9CC2E5"/>
      </top>
      <bottom style="thin">
        <color rgb="FF9CC2E5"/>
      </bottom>
    </border>
    <border>
      <left/>
      <right/>
      <top style="thin">
        <color rgb="FF9CC2E5"/>
      </top>
      <bottom style="thin">
        <color rgb="FF9CC2E5"/>
      </bottom>
    </border>
    <border>
      <left/>
      <right style="thin">
        <color rgb="FF9CC2E5"/>
      </right>
      <top style="thin">
        <color rgb="FF9CC2E5"/>
      </top>
      <bottom/>
    </border>
    <border>
      <left style="thin">
        <color rgb="FF9CC2E5"/>
      </left>
      <right/>
      <top style="thin">
        <color rgb="FF9CC2E5"/>
      </top>
      <bottom/>
    </border>
    <border>
      <top style="thin">
        <color rgb="FF9CC2E5"/>
      </top>
    </border>
    <border>
      <left style="thin">
        <color theme="0"/>
      </left>
      <right/>
      <top/>
      <bottom/>
    </border>
    <border>
      <left/>
      <right style="thin">
        <color theme="0"/>
      </right>
      <top style="thin">
        <color theme="0"/>
      </top>
      <bottom/>
    </border>
    <border>
      <left style="thin">
        <color theme="0"/>
      </left>
      <right style="thin">
        <color theme="0"/>
      </right>
      <top style="thin">
        <color theme="0"/>
      </top>
      <bottom/>
    </border>
    <border>
      <left style="thin">
        <color theme="0"/>
      </left>
      <right style="thin">
        <color theme="0"/>
      </right>
      <top style="thin">
        <color rgb="FFD8D8D8"/>
      </top>
    </border>
    <border>
      <left style="thin">
        <color theme="0"/>
      </left>
      <right style="thin">
        <color theme="0"/>
      </right>
      <top/>
      <bottom style="thin">
        <color theme="0"/>
      </bottom>
    </border>
    <border>
      <left style="thin">
        <color theme="0"/>
      </left>
      <right style="thin">
        <color theme="0"/>
      </right>
      <bottom style="thin">
        <color rgb="FFD8D8D8"/>
      </bottom>
    </border>
    <border>
      <left style="thin">
        <color theme="0"/>
      </left>
    </border>
    <border>
      <left style="thin">
        <color theme="0"/>
      </left>
      <right style="thin">
        <color theme="0"/>
      </right>
      <top/>
      <bottom style="thin">
        <color rgb="FFD8D8D8"/>
      </bottom>
    </border>
    <border>
      <left style="thin">
        <color theme="0"/>
      </left>
      <right style="thin">
        <color theme="0"/>
      </right>
      <top style="thin">
        <color theme="0"/>
      </top>
    </border>
    <border>
      <left style="thin">
        <color rgb="FFFFFFFF"/>
      </left>
      <right style="thin">
        <color rgb="FFFFFFFF"/>
      </right>
      <top style="thin">
        <color rgb="FFFFFFFF"/>
      </top>
      <bottom/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right style="thin">
        <color rgb="FF000000"/>
      </right>
      <top style="thick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ck">
        <color rgb="FF000000"/>
      </bottom>
    </border>
  </borders>
  <cellStyleXfs count="1">
    <xf numFmtId="0" fontId="0" fillId="0" borderId="0"/>
  </cellStyleXfs>
  <cellXfs count="308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2" fillId="3" borderId="2" applyAlignment="1" pivotButton="0" quotePrefix="0" xfId="0">
      <alignment horizontal="center"/>
    </xf>
    <xf numFmtId="0" fontId="4" fillId="0" borderId="3" applyAlignment="1" pivotButton="0" quotePrefix="0" xfId="0">
      <alignment horizontal="center"/>
    </xf>
    <xf numFmtId="0" fontId="4" fillId="0" borderId="3" applyAlignment="1" pivotButton="0" quotePrefix="0" xfId="0">
      <alignment horizontal="center"/>
    </xf>
    <xf numFmtId="0" fontId="5" fillId="3" borderId="2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2" fillId="3" borderId="1" pivotButton="0" quotePrefix="0" xfId="0"/>
    <xf numFmtId="164" fontId="2" fillId="0" borderId="0" pivotButton="0" quotePrefix="0" xfId="0"/>
    <xf numFmtId="0" fontId="3" fillId="2" borderId="2" pivotButton="0" quotePrefix="0" xfId="0"/>
    <xf numFmtId="0" fontId="3" fillId="2" borderId="5" pivotButton="0" quotePrefix="0" xfId="0"/>
    <xf numFmtId="0" fontId="2" fillId="3" borderId="2" applyAlignment="1" pivotButton="0" quotePrefix="0" xfId="0">
      <alignment horizontal="right" vertical="top"/>
    </xf>
    <xf numFmtId="0" fontId="2" fillId="3" borderId="2" applyAlignment="1" pivotButton="0" quotePrefix="0" xfId="0">
      <alignment wrapText="1"/>
    </xf>
    <xf numFmtId="0" fontId="2" fillId="0" borderId="4" applyAlignment="1" pivotButton="0" quotePrefix="0" xfId="0">
      <alignment horizontal="right" vertical="top"/>
    </xf>
    <xf numFmtId="0" fontId="2" fillId="0" borderId="4" applyAlignment="1" pivotButton="0" quotePrefix="0" xfId="0">
      <alignment wrapText="1"/>
    </xf>
    <xf numFmtId="0" fontId="2" fillId="0" borderId="4" applyAlignment="1" pivotButton="0" quotePrefix="0" xfId="0">
      <alignment horizontal="right" vertical="top" wrapText="1"/>
    </xf>
    <xf numFmtId="0" fontId="2" fillId="0" borderId="6" applyAlignment="1" pivotButton="0" quotePrefix="0" xfId="0">
      <alignment horizontal="right" vertical="top"/>
    </xf>
    <xf numFmtId="0" fontId="2" fillId="0" borderId="6" applyAlignment="1" pivotButton="0" quotePrefix="0" xfId="0">
      <alignment wrapText="1"/>
    </xf>
    <xf numFmtId="0" fontId="2" fillId="0" borderId="0" applyAlignment="1" pivotButton="0" quotePrefix="0" xfId="0">
      <alignment horizontal="right" vertical="top"/>
    </xf>
    <xf numFmtId="0" fontId="2" fillId="0" borderId="0" applyAlignment="1" pivotButton="0" quotePrefix="0" xfId="0">
      <alignment vertical="top" wrapText="1"/>
    </xf>
    <xf numFmtId="49" fontId="2" fillId="0" borderId="0" applyAlignment="1" pivotButton="0" quotePrefix="0" xfId="0">
      <alignment horizontal="right" vertical="top"/>
    </xf>
    <xf numFmtId="0" fontId="2" fillId="0" borderId="0" applyAlignment="1" pivotButton="0" quotePrefix="0" xfId="0">
      <alignment wrapText="1"/>
    </xf>
    <xf numFmtId="0" fontId="2" fillId="0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center"/>
    </xf>
    <xf numFmtId="0" fontId="6" fillId="0" borderId="0" pivotButton="0" quotePrefix="0" xfId="0"/>
    <xf numFmtId="0" fontId="7" fillId="0" borderId="0" pivotButton="0" quotePrefix="0" xfId="0"/>
    <xf numFmtId="0" fontId="7" fillId="0" borderId="0" applyAlignment="1" pivotButton="0" quotePrefix="0" xfId="0">
      <alignment horizontal="center"/>
    </xf>
    <xf numFmtId="0" fontId="6" fillId="0" borderId="7" applyAlignment="1" pivotButton="0" quotePrefix="0" xfId="0">
      <alignment horizontal="center"/>
    </xf>
    <xf numFmtId="0" fontId="6" fillId="0" borderId="0" applyAlignment="1" pivotButton="0" quotePrefix="0" xfId="0">
      <alignment horizontal="right"/>
    </xf>
    <xf numFmtId="0" fontId="2" fillId="0" borderId="8" applyAlignment="1" pivotButton="0" quotePrefix="0" xfId="0">
      <alignment horizontal="center"/>
    </xf>
    <xf numFmtId="0" fontId="8" fillId="0" borderId="9" pivotButton="0" quotePrefix="0" xfId="0"/>
    <xf numFmtId="0" fontId="9" fillId="0" borderId="9" applyAlignment="1" pivotButton="0" quotePrefix="0" xfId="0">
      <alignment vertical="center"/>
    </xf>
    <xf numFmtId="0" fontId="9" fillId="0" borderId="10" applyAlignment="1" pivotButton="0" quotePrefix="0" xfId="0">
      <alignment horizontal="right" vertical="center"/>
    </xf>
    <xf numFmtId="0" fontId="10" fillId="3" borderId="11" applyAlignment="1" pivotButton="0" quotePrefix="0" xfId="0">
      <alignment vertical="center"/>
    </xf>
    <xf numFmtId="0" fontId="10" fillId="3" borderId="12" applyAlignment="1" pivotButton="0" quotePrefix="0" xfId="0">
      <alignment vertical="center"/>
    </xf>
    <xf numFmtId="0" fontId="10" fillId="3" borderId="12" applyAlignment="1" pivotButton="0" quotePrefix="0" xfId="0">
      <alignment horizontal="center" vertical="center"/>
    </xf>
    <xf numFmtId="0" fontId="10" fillId="3" borderId="13" applyAlignment="1" pivotButton="0" quotePrefix="0" xfId="0">
      <alignment vertical="center"/>
    </xf>
    <xf numFmtId="0" fontId="2" fillId="0" borderId="14" pivotButton="0" quotePrefix="0" xfId="0"/>
    <xf numFmtId="0" fontId="7" fillId="0" borderId="15" pivotButton="0" quotePrefix="0" xfId="0"/>
    <xf numFmtId="0" fontId="7" fillId="0" borderId="15" applyAlignment="1" pivotButton="0" quotePrefix="0" xfId="0">
      <alignment horizontal="center"/>
    </xf>
    <xf numFmtId="0" fontId="2" fillId="0" borderId="16" pivotButton="0" quotePrefix="0" xfId="0"/>
    <xf numFmtId="0" fontId="2" fillId="0" borderId="0" applyAlignment="1" pivotButton="0" quotePrefix="0" xfId="0">
      <alignment vertical="center"/>
    </xf>
    <xf numFmtId="0" fontId="2" fillId="0" borderId="17" applyAlignment="1" pivotButton="0" quotePrefix="0" xfId="0">
      <alignment vertical="center"/>
    </xf>
    <xf numFmtId="0" fontId="11" fillId="4" borderId="18" applyAlignment="1" pivotButton="0" quotePrefix="0" xfId="0">
      <alignment vertical="center"/>
    </xf>
    <xf numFmtId="0" fontId="12" fillId="4" borderId="19" applyAlignment="1" pivotButton="0" quotePrefix="0" xfId="0">
      <alignment horizontal="center" vertical="center"/>
    </xf>
    <xf numFmtId="0" fontId="8" fillId="0" borderId="20" pivotButton="0" quotePrefix="0" xfId="0"/>
    <xf numFmtId="0" fontId="8" fillId="0" borderId="21" pivotButton="0" quotePrefix="0" xfId="0"/>
    <xf numFmtId="0" fontId="12" fillId="4" borderId="22" applyAlignment="1" pivotButton="0" quotePrefix="0" xfId="0">
      <alignment horizontal="center" vertical="center"/>
    </xf>
    <xf numFmtId="0" fontId="2" fillId="0" borderId="23" applyAlignment="1" pivotButton="0" quotePrefix="0" xfId="0">
      <alignment vertical="center"/>
    </xf>
    <xf numFmtId="0" fontId="12" fillId="5" borderId="24" applyAlignment="1" pivotButton="0" quotePrefix="0" xfId="0">
      <alignment vertical="center"/>
    </xf>
    <xf numFmtId="0" fontId="12" fillId="5" borderId="25" applyAlignment="1" pivotButton="0" quotePrefix="0" xfId="0">
      <alignment horizontal="center" vertical="center"/>
    </xf>
    <xf numFmtId="0" fontId="12" fillId="5" borderId="26" applyAlignment="1" pivotButton="0" quotePrefix="0" xfId="0">
      <alignment horizontal="center" vertical="center"/>
    </xf>
    <xf numFmtId="0" fontId="12" fillId="5" borderId="27" applyAlignment="1" pivotButton="0" quotePrefix="0" xfId="0">
      <alignment horizontal="center" vertical="center"/>
    </xf>
    <xf numFmtId="0" fontId="12" fillId="5" borderId="28" applyAlignment="1" pivotButton="0" quotePrefix="0" xfId="0">
      <alignment horizontal="center" vertical="center"/>
    </xf>
    <xf numFmtId="0" fontId="13" fillId="3" borderId="29" applyAlignment="1" pivotButton="0" quotePrefix="0" xfId="0">
      <alignment vertical="center" wrapText="1"/>
    </xf>
    <xf numFmtId="0" fontId="7" fillId="3" borderId="30" applyAlignment="1" pivotButton="0" quotePrefix="0" xfId="0">
      <alignment horizontal="center" vertical="center"/>
    </xf>
    <xf numFmtId="0" fontId="7" fillId="3" borderId="18" applyAlignment="1" pivotButton="0" quotePrefix="0" xfId="0">
      <alignment horizontal="center" vertical="center"/>
    </xf>
    <xf numFmtId="0" fontId="7" fillId="3" borderId="29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14" fillId="3" borderId="29" pivotButton="0" quotePrefix="0" xfId="0"/>
    <xf numFmtId="0" fontId="15" fillId="0" borderId="23" pivotButton="0" quotePrefix="0" xfId="0"/>
    <xf numFmtId="0" fontId="7" fillId="0" borderId="0" applyAlignment="1" pivotButton="0" quotePrefix="0" xfId="0">
      <alignment horizontal="center" vertical="center"/>
    </xf>
    <xf numFmtId="1" fontId="7" fillId="0" borderId="0" applyAlignment="1" pivotButton="0" quotePrefix="0" xfId="0">
      <alignment horizontal="center" vertical="center"/>
    </xf>
    <xf numFmtId="0" fontId="7" fillId="0" borderId="23" applyAlignment="1" pivotButton="0" quotePrefix="0" xfId="0">
      <alignment horizontal="center" vertical="center"/>
    </xf>
    <xf numFmtId="0" fontId="16" fillId="0" borderId="23" applyAlignment="1" pivotButton="0" quotePrefix="0" xfId="0">
      <alignment vertical="center"/>
    </xf>
    <xf numFmtId="9" fontId="7" fillId="0" borderId="0" applyAlignment="1" pivotButton="0" quotePrefix="0" xfId="0">
      <alignment vertical="center"/>
    </xf>
    <xf numFmtId="0" fontId="7" fillId="3" borderId="29" pivotButton="0" quotePrefix="0" xfId="0"/>
    <xf numFmtId="9" fontId="7" fillId="0" borderId="0" applyAlignment="1" pivotButton="0" quotePrefix="1" xfId="0">
      <alignment horizontal="center" vertical="center"/>
    </xf>
    <xf numFmtId="0" fontId="17" fillId="0" borderId="23" applyAlignment="1" pivotButton="0" quotePrefix="0" xfId="0">
      <alignment vertical="center" wrapText="1"/>
    </xf>
    <xf numFmtId="0" fontId="7" fillId="6" borderId="18" applyAlignment="1" pivotButton="0" quotePrefix="0" xfId="0">
      <alignment vertical="center"/>
    </xf>
    <xf numFmtId="0" fontId="7" fillId="6" borderId="18" applyAlignment="1" pivotButton="0" quotePrefix="0" xfId="0">
      <alignment horizontal="center" vertical="center"/>
    </xf>
    <xf numFmtId="0" fontId="7" fillId="0" borderId="0" applyAlignment="1" pivotButton="0" quotePrefix="0" xfId="0">
      <alignment vertical="center"/>
    </xf>
    <xf numFmtId="0" fontId="2" fillId="0" borderId="31" pivotButton="0" quotePrefix="0" xfId="0"/>
    <xf numFmtId="0" fontId="2" fillId="0" borderId="7" pivotButton="0" quotePrefix="0" xfId="0"/>
    <xf numFmtId="0" fontId="2" fillId="0" borderId="7" applyAlignment="1" pivotButton="0" quotePrefix="0" xfId="0">
      <alignment horizontal="center"/>
    </xf>
    <xf numFmtId="164" fontId="2" fillId="0" borderId="7" pivotButton="0" quotePrefix="0" xfId="0"/>
    <xf numFmtId="164" fontId="2" fillId="0" borderId="7" applyAlignment="1" pivotButton="0" quotePrefix="0" xfId="0">
      <alignment horizontal="center"/>
    </xf>
    <xf numFmtId="0" fontId="8" fillId="0" borderId="32" pivotButton="0" quotePrefix="0" xfId="0"/>
    <xf numFmtId="0" fontId="6" fillId="0" borderId="7" applyAlignment="1" pivotButton="0" quotePrefix="0" xfId="0">
      <alignment horizontal="right"/>
    </xf>
    <xf numFmtId="0" fontId="9" fillId="0" borderId="9" applyAlignment="1" pivotButton="0" quotePrefix="0" xfId="0">
      <alignment horizontal="center" vertical="center"/>
    </xf>
    <xf numFmtId="0" fontId="8" fillId="0" borderId="10" pivotButton="0" quotePrefix="0" xfId="0"/>
    <xf numFmtId="0" fontId="10" fillId="3" borderId="33" applyAlignment="1" pivotButton="0" quotePrefix="0" xfId="0">
      <alignment horizontal="center" vertical="center"/>
    </xf>
    <xf numFmtId="0" fontId="8" fillId="0" borderId="34" pivotButton="0" quotePrefix="0" xfId="0"/>
    <xf numFmtId="0" fontId="8" fillId="0" borderId="35" pivotButton="0" quotePrefix="0" xfId="0"/>
    <xf numFmtId="0" fontId="18" fillId="3" borderId="29" applyAlignment="1" pivotButton="0" quotePrefix="0" xfId="0">
      <alignment vertical="center"/>
    </xf>
    <xf numFmtId="16" fontId="7" fillId="0" borderId="0" applyAlignment="1" pivotButton="0" quotePrefix="1" xfId="0">
      <alignment horizontal="center" vertical="center"/>
    </xf>
    <xf numFmtId="0" fontId="2" fillId="0" borderId="17" pivotButton="0" quotePrefix="0" xfId="0"/>
    <xf numFmtId="0" fontId="2" fillId="0" borderId="23" pivotButton="0" quotePrefix="0" xfId="0"/>
    <xf numFmtId="0" fontId="19" fillId="3" borderId="18" applyAlignment="1" pivotButton="0" quotePrefix="0" xfId="0">
      <alignment horizontal="center" vertical="center"/>
    </xf>
    <xf numFmtId="0" fontId="20" fillId="3" borderId="18" applyAlignment="1" pivotButton="0" quotePrefix="0" xfId="0">
      <alignment horizontal="center" vertical="center"/>
    </xf>
    <xf numFmtId="0" fontId="21" fillId="0" borderId="0" applyAlignment="1" pivotButton="0" quotePrefix="0" xfId="0">
      <alignment horizontal="center"/>
    </xf>
    <xf numFmtId="0" fontId="21" fillId="0" borderId="7" pivotButton="0" quotePrefix="0" xfId="0"/>
    <xf numFmtId="0" fontId="21" fillId="0" borderId="7" applyAlignment="1" pivotButton="0" quotePrefix="0" xfId="0">
      <alignment horizontal="center"/>
    </xf>
    <xf numFmtId="0" fontId="21" fillId="0" borderId="0" pivotButton="0" quotePrefix="0" xfId="0"/>
    <xf numFmtId="0" fontId="22" fillId="0" borderId="0" applyAlignment="1" pivotButton="0" quotePrefix="0" xfId="0">
      <alignment vertical="center"/>
    </xf>
    <xf numFmtId="0" fontId="23" fillId="0" borderId="0" pivotButton="0" quotePrefix="0" xfId="0"/>
    <xf numFmtId="0" fontId="22" fillId="0" borderId="7" applyAlignment="1" pivotButton="0" quotePrefix="0" xfId="0">
      <alignment vertical="center" wrapText="1"/>
    </xf>
    <xf numFmtId="0" fontId="22" fillId="0" borderId="0" applyAlignment="1" pivotButton="0" quotePrefix="0" xfId="0">
      <alignment vertical="center" wrapText="1"/>
    </xf>
    <xf numFmtId="0" fontId="22" fillId="0" borderId="7" applyAlignment="1" pivotButton="0" quotePrefix="0" xfId="0">
      <alignment horizontal="center" vertical="center"/>
    </xf>
    <xf numFmtId="0" fontId="8" fillId="0" borderId="7" pivotButton="0" quotePrefix="0" xfId="0"/>
    <xf numFmtId="0" fontId="22" fillId="0" borderId="7" applyAlignment="1" pivotButton="0" quotePrefix="0" xfId="0">
      <alignment vertical="center"/>
    </xf>
    <xf numFmtId="0" fontId="22" fillId="0" borderId="7" applyAlignment="1" pivotButton="0" quotePrefix="0" xfId="0">
      <alignment horizontal="right" vertical="center"/>
    </xf>
    <xf numFmtId="0" fontId="2" fillId="0" borderId="0" applyAlignment="1" pivotButton="0" quotePrefix="0" xfId="0">
      <alignment vertical="center" wrapText="1"/>
    </xf>
    <xf numFmtId="0" fontId="23" fillId="0" borderId="36" applyAlignment="1" pivotButton="0" quotePrefix="0" xfId="0">
      <alignment horizontal="center"/>
    </xf>
    <xf numFmtId="0" fontId="8" fillId="0" borderId="37" pivotButton="0" quotePrefix="0" xfId="0"/>
    <xf numFmtId="0" fontId="24" fillId="0" borderId="37" applyAlignment="1" pivotButton="0" quotePrefix="0" xfId="0">
      <alignment vertical="center"/>
    </xf>
    <xf numFmtId="0" fontId="24" fillId="0" borderId="38" applyAlignment="1" pivotButton="0" quotePrefix="0" xfId="0">
      <alignment horizontal="right" vertical="center"/>
    </xf>
    <xf numFmtId="0" fontId="25" fillId="0" borderId="0" pivotButton="0" quotePrefix="0" xfId="0"/>
    <xf numFmtId="0" fontId="26" fillId="7" borderId="36" applyAlignment="1" pivotButton="0" quotePrefix="0" xfId="0">
      <alignment horizontal="center" vertical="center"/>
    </xf>
    <xf numFmtId="0" fontId="8" fillId="0" borderId="38" pivotButton="0" quotePrefix="0" xfId="0"/>
    <xf numFmtId="0" fontId="23" fillId="0" borderId="39" applyAlignment="1" pivotButton="0" quotePrefix="0" xfId="0">
      <alignment vertical="center"/>
    </xf>
    <xf numFmtId="0" fontId="23" fillId="0" borderId="40" applyAlignment="1" pivotButton="0" quotePrefix="0" xfId="0">
      <alignment vertical="center"/>
    </xf>
    <xf numFmtId="0" fontId="23" fillId="0" borderId="41" applyAlignment="1" pivotButton="0" quotePrefix="0" xfId="0">
      <alignment vertical="center"/>
    </xf>
    <xf numFmtId="0" fontId="23" fillId="0" borderId="17" applyAlignment="1" pivotButton="0" quotePrefix="0" xfId="0">
      <alignment vertical="center"/>
    </xf>
    <xf numFmtId="0" fontId="27" fillId="8" borderId="19" applyAlignment="1" pivotButton="0" quotePrefix="0" xfId="0">
      <alignment horizontal="center" vertical="center"/>
    </xf>
    <xf numFmtId="0" fontId="27" fillId="8" borderId="42" applyAlignment="1" pivotButton="0" quotePrefix="0" xfId="0">
      <alignment horizontal="center" vertical="center"/>
    </xf>
    <xf numFmtId="0" fontId="27" fillId="8" borderId="18" applyAlignment="1" pivotButton="0" quotePrefix="0" xfId="0">
      <alignment horizontal="center" vertical="center"/>
    </xf>
    <xf numFmtId="0" fontId="22" fillId="0" borderId="23" applyAlignment="1" pivotButton="0" quotePrefix="0" xfId="0">
      <alignment vertical="center"/>
    </xf>
    <xf numFmtId="0" fontId="28" fillId="9" borderId="42" applyAlignment="1" pivotButton="0" quotePrefix="0" xfId="0">
      <alignment vertical="center"/>
    </xf>
    <xf numFmtId="0" fontId="28" fillId="5" borderId="42" applyAlignment="1" pivotButton="0" quotePrefix="0" xfId="0">
      <alignment horizontal="center" vertical="center"/>
    </xf>
    <xf numFmtId="0" fontId="28" fillId="9" borderId="42" applyAlignment="1" pivotButton="0" quotePrefix="0" xfId="0">
      <alignment horizontal="center" vertical="center"/>
    </xf>
    <xf numFmtId="0" fontId="28" fillId="5" borderId="43" applyAlignment="1" pivotButton="0" quotePrefix="0" xfId="0">
      <alignment horizontal="center" vertical="center"/>
    </xf>
    <xf numFmtId="0" fontId="28" fillId="5" borderId="18" applyAlignment="1" pivotButton="0" quotePrefix="0" xfId="0">
      <alignment horizontal="center" vertical="center"/>
    </xf>
    <xf numFmtId="0" fontId="23" fillId="0" borderId="44" applyAlignment="1" pivotButton="0" quotePrefix="0" xfId="0">
      <alignment vertical="center"/>
    </xf>
    <xf numFmtId="0" fontId="23" fillId="0" borderId="44" applyAlignment="1" pivotButton="0" quotePrefix="0" xfId="0">
      <alignment horizontal="center" vertical="center"/>
    </xf>
    <xf numFmtId="1" fontId="23" fillId="0" borderId="44" applyAlignment="1" pivotButton="0" quotePrefix="0" xfId="0">
      <alignment horizontal="center" vertical="center"/>
    </xf>
    <xf numFmtId="0" fontId="29" fillId="0" borderId="45" applyAlignment="1" pivotButton="0" quotePrefix="0" xfId="0">
      <alignment horizontal="right" vertical="center"/>
    </xf>
    <xf numFmtId="0" fontId="23" fillId="0" borderId="0" applyAlignment="1" pivotButton="0" quotePrefix="0" xfId="0">
      <alignment horizontal="center" vertical="center"/>
    </xf>
    <xf numFmtId="0" fontId="1" fillId="0" borderId="0" pivotButton="0" quotePrefix="0" xfId="0"/>
    <xf numFmtId="0" fontId="23" fillId="3" borderId="42" applyAlignment="1" pivotButton="0" quotePrefix="0" xfId="0">
      <alignment vertical="center" wrapText="1"/>
    </xf>
    <xf numFmtId="0" fontId="23" fillId="3" borderId="42" applyAlignment="1" pivotButton="0" quotePrefix="0" xfId="0">
      <alignment horizontal="center" vertical="center"/>
    </xf>
    <xf numFmtId="0" fontId="29" fillId="3" borderId="43" applyAlignment="1" pivotButton="0" quotePrefix="0" xfId="0">
      <alignment horizontal="right" vertical="center" wrapText="1"/>
    </xf>
    <xf numFmtId="0" fontId="23" fillId="3" borderId="18" applyAlignment="1" pivotButton="0" quotePrefix="0" xfId="0">
      <alignment horizontal="center" vertical="center"/>
    </xf>
    <xf numFmtId="0" fontId="2" fillId="3" borderId="18" pivotButton="0" quotePrefix="0" xfId="0"/>
    <xf numFmtId="0" fontId="23" fillId="3" borderId="42" applyAlignment="1" pivotButton="0" quotePrefix="0" xfId="0">
      <alignment vertical="center"/>
    </xf>
    <xf numFmtId="0" fontId="23" fillId="3" borderId="43" applyAlignment="1" pivotButton="0" quotePrefix="0" xfId="0">
      <alignment horizontal="center" vertical="center"/>
    </xf>
    <xf numFmtId="0" fontId="23" fillId="0" borderId="44" applyAlignment="1" pivotButton="0" quotePrefix="0" xfId="0">
      <alignment horizontal="right" vertical="center"/>
    </xf>
    <xf numFmtId="0" fontId="23" fillId="0" borderId="45" applyAlignment="1" pivotButton="0" quotePrefix="0" xfId="0">
      <alignment horizontal="center" vertical="center"/>
    </xf>
    <xf numFmtId="0" fontId="22" fillId="0" borderId="0" applyAlignment="1" pivotButton="0" quotePrefix="0" xfId="0">
      <alignment horizontal="right" vertical="center" wrapText="1"/>
    </xf>
    <xf numFmtId="0" fontId="8" fillId="0" borderId="45" pivotButton="0" quotePrefix="0" xfId="0"/>
    <xf numFmtId="0" fontId="23" fillId="0" borderId="23" applyAlignment="1" pivotButton="0" quotePrefix="0" xfId="0">
      <alignment vertical="center"/>
    </xf>
    <xf numFmtId="0" fontId="23" fillId="0" borderId="0" applyAlignment="1" pivotButton="0" quotePrefix="0" xfId="0">
      <alignment vertical="center"/>
    </xf>
    <xf numFmtId="0" fontId="22" fillId="0" borderId="0" applyAlignment="1" pivotButton="0" quotePrefix="0" xfId="0">
      <alignment horizontal="left" vertical="center"/>
    </xf>
    <xf numFmtId="0" fontId="22" fillId="0" borderId="23" applyAlignment="1" pivotButton="0" quotePrefix="0" xfId="0">
      <alignment vertical="center" wrapText="1"/>
    </xf>
    <xf numFmtId="0" fontId="22" fillId="0" borderId="0" applyAlignment="1" pivotButton="0" quotePrefix="0" xfId="0">
      <alignment horizontal="left" vertical="center" wrapText="1"/>
    </xf>
    <xf numFmtId="0" fontId="27" fillId="8" borderId="22" applyAlignment="1" pivotButton="0" quotePrefix="0" xfId="0">
      <alignment horizontal="center" vertical="center"/>
    </xf>
    <xf numFmtId="0" fontId="29" fillId="3" borderId="43" applyAlignment="1" pivotButton="0" quotePrefix="0" xfId="0">
      <alignment horizontal="right" vertical="center"/>
    </xf>
    <xf numFmtId="0" fontId="29" fillId="0" borderId="45" applyAlignment="1" pivotButton="0" quotePrefix="0" xfId="0">
      <alignment horizontal="center" vertical="center"/>
    </xf>
    <xf numFmtId="1" fontId="23" fillId="3" borderId="42" applyAlignment="1" pivotButton="0" quotePrefix="0" xfId="0">
      <alignment horizontal="center" vertical="center"/>
    </xf>
    <xf numFmtId="0" fontId="22" fillId="0" borderId="23" applyAlignment="1" pivotButton="0" quotePrefix="0" xfId="0">
      <alignment horizontal="center" vertical="center" wrapText="1"/>
    </xf>
    <xf numFmtId="0" fontId="22" fillId="0" borderId="0" applyAlignment="1" pivotButton="0" quotePrefix="0" xfId="0">
      <alignment horizontal="center" vertical="center" wrapText="1"/>
    </xf>
    <xf numFmtId="0" fontId="23" fillId="0" borderId="0" applyAlignment="1" pivotButton="0" quotePrefix="0" xfId="0">
      <alignment horizontal="left" vertical="center" wrapText="1"/>
    </xf>
    <xf numFmtId="0" fontId="23" fillId="0" borderId="0" applyAlignment="1" pivotButton="0" quotePrefix="0" xfId="0">
      <alignment vertical="center" wrapText="1"/>
    </xf>
    <xf numFmtId="0" fontId="23" fillId="0" borderId="23" applyAlignment="1" pivotButton="0" quotePrefix="0" xfId="0">
      <alignment vertical="center" wrapText="1"/>
    </xf>
    <xf numFmtId="0" fontId="2" fillId="0" borderId="31" applyAlignment="1" pivotButton="0" quotePrefix="0" xfId="0">
      <alignment vertical="center"/>
    </xf>
    <xf numFmtId="0" fontId="2" fillId="0" borderId="7" applyAlignment="1" pivotButton="0" quotePrefix="0" xfId="0">
      <alignment vertical="center" wrapText="1"/>
    </xf>
    <xf numFmtId="164" fontId="2" fillId="0" borderId="7" applyAlignment="1" pivotButton="0" quotePrefix="0" xfId="0">
      <alignment horizontal="center" vertical="center"/>
    </xf>
    <xf numFmtId="0" fontId="25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right" vertical="center"/>
    </xf>
    <xf numFmtId="0" fontId="24" fillId="0" borderId="37" applyAlignment="1" pivotButton="0" quotePrefix="0" xfId="0">
      <alignment horizontal="center" vertical="center"/>
    </xf>
    <xf numFmtId="0" fontId="5" fillId="0" borderId="0" pivotButton="0" quotePrefix="0" xfId="0"/>
    <xf numFmtId="0" fontId="23" fillId="3" borderId="43" applyAlignment="1" pivotButton="0" quotePrefix="0" xfId="0">
      <alignment horizontal="right" vertical="center"/>
    </xf>
    <xf numFmtId="17" fontId="2" fillId="0" borderId="0" applyAlignment="1" pivotButton="0" quotePrefix="0" xfId="0">
      <alignment horizontal="right" vertical="center"/>
    </xf>
    <xf numFmtId="0" fontId="30" fillId="0" borderId="0" applyAlignment="1" pivotButton="0" quotePrefix="0" xfId="0">
      <alignment horizontal="center" vertical="center" wrapText="1"/>
    </xf>
    <xf numFmtId="0" fontId="22" fillId="0" borderId="7" applyAlignment="1" pivotButton="0" quotePrefix="0" xfId="0">
      <alignment horizontal="left" vertical="center"/>
    </xf>
    <xf numFmtId="0" fontId="31" fillId="0" borderId="0" pivotButton="0" quotePrefix="0" xfId="0"/>
    <xf numFmtId="0" fontId="23" fillId="0" borderId="37" pivotButton="0" quotePrefix="0" xfId="0"/>
    <xf numFmtId="0" fontId="24" fillId="0" borderId="37" applyAlignment="1" pivotButton="0" quotePrefix="0" xfId="0">
      <alignment vertical="top"/>
    </xf>
    <xf numFmtId="0" fontId="24" fillId="0" borderId="37" applyAlignment="1" pivotButton="0" quotePrefix="0" xfId="0">
      <alignment horizontal="right" vertical="top"/>
    </xf>
    <xf numFmtId="0" fontId="31" fillId="0" borderId="17" pivotButton="0" quotePrefix="0" xfId="0"/>
    <xf numFmtId="0" fontId="26" fillId="7" borderId="46" applyAlignment="1" pivotButton="0" quotePrefix="0" xfId="0">
      <alignment vertical="center"/>
    </xf>
    <xf numFmtId="0" fontId="26" fillId="7" borderId="47" applyAlignment="1" pivotButton="0" quotePrefix="0" xfId="0">
      <alignment vertical="center"/>
    </xf>
    <xf numFmtId="0" fontId="26" fillId="7" borderId="47" applyAlignment="1" pivotButton="0" quotePrefix="0" xfId="0">
      <alignment horizontal="center" vertical="center"/>
    </xf>
    <xf numFmtId="0" fontId="26" fillId="7" borderId="48" applyAlignment="1" pivotButton="0" quotePrefix="0" xfId="0">
      <alignment vertical="center"/>
    </xf>
    <xf numFmtId="0" fontId="23" fillId="0" borderId="39" pivotButton="0" quotePrefix="0" xfId="0"/>
    <xf numFmtId="0" fontId="23" fillId="0" borderId="40" pivotButton="0" quotePrefix="0" xfId="0"/>
    <xf numFmtId="0" fontId="23" fillId="0" borderId="41" pivotButton="0" quotePrefix="0" xfId="0"/>
    <xf numFmtId="0" fontId="23" fillId="0" borderId="17" pivotButton="0" quotePrefix="0" xfId="0"/>
    <xf numFmtId="0" fontId="26" fillId="0" borderId="0" pivotButton="0" quotePrefix="0" xfId="0"/>
    <xf numFmtId="0" fontId="26" fillId="0" borderId="0" applyAlignment="1" pivotButton="0" quotePrefix="0" xfId="0">
      <alignment horizontal="center"/>
    </xf>
    <xf numFmtId="0" fontId="32" fillId="8" borderId="19" applyAlignment="1" pivotButton="0" quotePrefix="0" xfId="0">
      <alignment horizontal="center" vertical="center"/>
    </xf>
    <xf numFmtId="0" fontId="32" fillId="8" borderId="22" applyAlignment="1" pivotButton="0" quotePrefix="0" xfId="0">
      <alignment horizontal="center" vertical="center"/>
    </xf>
    <xf numFmtId="0" fontId="8" fillId="0" borderId="49" pivotButton="0" quotePrefix="0" xfId="0"/>
    <xf numFmtId="0" fontId="32" fillId="9" borderId="19" applyAlignment="1" pivotButton="0" quotePrefix="0" xfId="0">
      <alignment horizontal="left"/>
    </xf>
    <xf numFmtId="0" fontId="32" fillId="5" borderId="42" applyAlignment="1" pivotButton="0" quotePrefix="0" xfId="0">
      <alignment horizontal="center"/>
    </xf>
    <xf numFmtId="0" fontId="32" fillId="9" borderId="42" applyAlignment="1" pivotButton="0" quotePrefix="0" xfId="0">
      <alignment horizontal="center" vertical="center"/>
    </xf>
    <xf numFmtId="0" fontId="32" fillId="5" borderId="42" applyAlignment="1" pivotButton="0" quotePrefix="0" xfId="0">
      <alignment horizontal="center" vertical="center"/>
    </xf>
    <xf numFmtId="0" fontId="32" fillId="5" borderId="50" applyAlignment="1" pivotButton="0" quotePrefix="0" xfId="0">
      <alignment horizontal="center" vertical="center"/>
    </xf>
    <xf numFmtId="0" fontId="32" fillId="5" borderId="18" applyAlignment="1" pivotButton="0" quotePrefix="0" xfId="0">
      <alignment horizontal="center" vertical="center"/>
    </xf>
    <xf numFmtId="0" fontId="23" fillId="0" borderId="23" pivotButton="0" quotePrefix="0" xfId="0"/>
    <xf numFmtId="0" fontId="22" fillId="0" borderId="0" applyAlignment="1" pivotButton="0" quotePrefix="0" xfId="0">
      <alignment horizontal="left"/>
    </xf>
    <xf numFmtId="0" fontId="32" fillId="0" borderId="44" applyAlignment="1" pivotButton="0" quotePrefix="0" xfId="0">
      <alignment horizontal="left"/>
    </xf>
    <xf numFmtId="0" fontId="32" fillId="0" borderId="44" applyAlignment="1" pivotButton="0" quotePrefix="0" xfId="0">
      <alignment horizontal="center"/>
    </xf>
    <xf numFmtId="0" fontId="32" fillId="0" borderId="44" applyAlignment="1" pivotButton="0" quotePrefix="0" xfId="0">
      <alignment horizontal="center" vertical="center"/>
    </xf>
    <xf numFmtId="0" fontId="32" fillId="0" borderId="51" applyAlignment="1" pivotButton="0" quotePrefix="0" xfId="0">
      <alignment horizontal="center" vertical="center"/>
    </xf>
    <xf numFmtId="0" fontId="32" fillId="0" borderId="0" applyAlignment="1" pivotButton="0" quotePrefix="0" xfId="0">
      <alignment horizontal="center" vertical="center"/>
    </xf>
    <xf numFmtId="0" fontId="26" fillId="0" borderId="52" applyAlignment="1" pivotButton="0" quotePrefix="0" xfId="0">
      <alignment horizontal="left"/>
    </xf>
    <xf numFmtId="0" fontId="26" fillId="0" borderId="53" applyAlignment="1" pivotButton="0" quotePrefix="0" xfId="0">
      <alignment horizontal="left"/>
    </xf>
    <xf numFmtId="165" fontId="26" fillId="0" borderId="53" applyAlignment="1" pivotButton="0" quotePrefix="0" xfId="0">
      <alignment horizontal="center"/>
    </xf>
    <xf numFmtId="0" fontId="26" fillId="0" borderId="53" applyAlignment="1" pivotButton="0" quotePrefix="0" xfId="0">
      <alignment horizontal="center" vertical="center"/>
    </xf>
    <xf numFmtId="0" fontId="26" fillId="0" borderId="54" applyAlignment="1" pivotButton="0" quotePrefix="0" xfId="0">
      <alignment horizontal="center" vertical="center"/>
    </xf>
    <xf numFmtId="0" fontId="26" fillId="0" borderId="52" applyAlignment="1" pivotButton="0" quotePrefix="0" xfId="0">
      <alignment horizontal="center" vertical="center"/>
    </xf>
    <xf numFmtId="0" fontId="26" fillId="0" borderId="55" applyAlignment="1" pivotButton="0" quotePrefix="0" xfId="0">
      <alignment horizontal="center" vertical="center"/>
    </xf>
    <xf numFmtId="0" fontId="26" fillId="3" borderId="18" applyAlignment="1" pivotButton="0" quotePrefix="0" xfId="0">
      <alignment horizontal="left"/>
    </xf>
    <xf numFmtId="0" fontId="26" fillId="3" borderId="42" applyAlignment="1" pivotButton="0" quotePrefix="0" xfId="0">
      <alignment horizontal="left"/>
    </xf>
    <xf numFmtId="165" fontId="26" fillId="3" borderId="50" applyAlignment="1" pivotButton="0" quotePrefix="0" xfId="0">
      <alignment horizontal="center"/>
    </xf>
    <xf numFmtId="0" fontId="26" fillId="3" borderId="42" applyAlignment="1" pivotButton="0" quotePrefix="0" xfId="0">
      <alignment horizontal="center" vertical="center"/>
    </xf>
    <xf numFmtId="0" fontId="26" fillId="3" borderId="50" applyAlignment="1" pivotButton="0" quotePrefix="0" xfId="0">
      <alignment horizontal="center" vertical="center"/>
    </xf>
    <xf numFmtId="0" fontId="26" fillId="3" borderId="43" applyAlignment="1" pivotButton="0" quotePrefix="0" xfId="0">
      <alignment horizontal="center" vertical="center"/>
    </xf>
    <xf numFmtId="0" fontId="26" fillId="3" borderId="18" applyAlignment="1" pivotButton="0" quotePrefix="0" xfId="0">
      <alignment horizontal="center" vertical="center"/>
    </xf>
    <xf numFmtId="0" fontId="26" fillId="3" borderId="56" applyAlignment="1" pivotButton="0" quotePrefix="0" xfId="0">
      <alignment horizontal="center" vertical="center"/>
    </xf>
    <xf numFmtId="0" fontId="26" fillId="0" borderId="0" applyAlignment="1" pivotButton="0" quotePrefix="0" xfId="0">
      <alignment horizontal="left"/>
    </xf>
    <xf numFmtId="0" fontId="26" fillId="0" borderId="44" applyAlignment="1" pivotButton="0" quotePrefix="0" xfId="0">
      <alignment horizontal="left"/>
    </xf>
    <xf numFmtId="165" fontId="26" fillId="0" borderId="51" applyAlignment="1" pivotButton="0" quotePrefix="0" xfId="0">
      <alignment horizontal="center"/>
    </xf>
    <xf numFmtId="0" fontId="26" fillId="0" borderId="44" applyAlignment="1" pivotButton="0" quotePrefix="0" xfId="0">
      <alignment horizontal="center" vertical="center"/>
    </xf>
    <xf numFmtId="0" fontId="26" fillId="0" borderId="51" applyAlignment="1" pivotButton="0" quotePrefix="0" xfId="0">
      <alignment horizontal="center" vertical="center"/>
    </xf>
    <xf numFmtId="0" fontId="26" fillId="0" borderId="0" applyAlignment="1" pivotButton="0" quotePrefix="0" xfId="0">
      <alignment horizontal="center" vertical="center"/>
    </xf>
    <xf numFmtId="0" fontId="26" fillId="0" borderId="45" applyAlignment="1" pivotButton="0" quotePrefix="0" xfId="0">
      <alignment horizontal="center" vertical="center"/>
    </xf>
    <xf numFmtId="0" fontId="26" fillId="0" borderId="0" applyAlignment="1" pivotButton="0" quotePrefix="0" xfId="0">
      <alignment horizontal="right" wrapText="1"/>
    </xf>
    <xf numFmtId="0" fontId="26" fillId="0" borderId="57" applyAlignment="1" pivotButton="0" quotePrefix="0" xfId="0">
      <alignment horizontal="center" wrapText="1"/>
    </xf>
    <xf numFmtId="0" fontId="8" fillId="0" borderId="58" pivotButton="0" quotePrefix="0" xfId="0"/>
    <xf numFmtId="0" fontId="26" fillId="0" borderId="0" applyAlignment="1" pivotButton="0" quotePrefix="0" xfId="0">
      <alignment horizontal="right"/>
    </xf>
    <xf numFmtId="165" fontId="26" fillId="0" borderId="59" applyAlignment="1" pivotButton="0" quotePrefix="0" xfId="0">
      <alignment horizontal="center"/>
    </xf>
    <xf numFmtId="0" fontId="8" fillId="0" borderId="59" pivotButton="0" quotePrefix="0" xfId="0"/>
    <xf numFmtId="0" fontId="8" fillId="0" borderId="60" pivotButton="0" quotePrefix="0" xfId="0"/>
    <xf numFmtId="165" fontId="26" fillId="0" borderId="61" applyAlignment="1" pivotButton="0" quotePrefix="0" xfId="0">
      <alignment horizontal="center"/>
    </xf>
    <xf numFmtId="165" fontId="26" fillId="0" borderId="62" applyAlignment="1" pivotButton="0" quotePrefix="0" xfId="0">
      <alignment horizontal="center"/>
    </xf>
    <xf numFmtId="0" fontId="8" fillId="0" borderId="62" pivotButton="0" quotePrefix="0" xfId="0"/>
    <xf numFmtId="0" fontId="8" fillId="0" borderId="63" pivotButton="0" quotePrefix="0" xfId="0"/>
    <xf numFmtId="165" fontId="26" fillId="0" borderId="64" applyAlignment="1" pivotButton="0" quotePrefix="0" xfId="0">
      <alignment horizontal="center"/>
    </xf>
    <xf numFmtId="0" fontId="22" fillId="0" borderId="0" applyAlignment="1" pivotButton="0" quotePrefix="0" xfId="0">
      <alignment horizontal="center" wrapText="1"/>
    </xf>
    <xf numFmtId="0" fontId="2" fillId="0" borderId="17" applyAlignment="1" pivotButton="0" quotePrefix="0" xfId="0">
      <alignment vertical="center" wrapText="1"/>
    </xf>
    <xf numFmtId="0" fontId="22" fillId="0" borderId="0" applyAlignment="1" pivotButton="0" quotePrefix="0" xfId="0">
      <alignment horizontal="left" vertical="top" wrapText="1"/>
    </xf>
    <xf numFmtId="0" fontId="23" fillId="0" borderId="31" pivotButton="0" quotePrefix="0" xfId="0"/>
    <xf numFmtId="0" fontId="22" fillId="0" borderId="7" applyAlignment="1" pivotButton="0" quotePrefix="0" xfId="0">
      <alignment horizontal="center" wrapText="1"/>
    </xf>
    <xf numFmtId="0" fontId="23" fillId="0" borderId="7" applyAlignment="1" pivotButton="0" quotePrefix="0" xfId="0">
      <alignment vertical="center" wrapText="1"/>
    </xf>
    <xf numFmtId="164" fontId="23" fillId="0" borderId="7" applyAlignment="1" pivotButton="0" quotePrefix="0" xfId="0">
      <alignment horizontal="center" vertical="center"/>
    </xf>
    <xf numFmtId="0" fontId="2" fillId="0" borderId="0" applyAlignment="1" pivotButton="0" quotePrefix="0" xfId="0">
      <alignment wrapText="1"/>
    </xf>
    <xf numFmtId="165" fontId="26" fillId="0" borderId="0" applyAlignment="1" pivotButton="0" quotePrefix="0" xfId="0">
      <alignment horizontal="center"/>
    </xf>
    <xf numFmtId="0" fontId="33" fillId="10" borderId="19" applyAlignment="1" pivotButton="0" quotePrefix="0" xfId="0">
      <alignment horizontal="center" vertical="center"/>
    </xf>
    <xf numFmtId="0" fontId="33" fillId="9" borderId="19" applyAlignment="1" pivotButton="0" quotePrefix="0" xfId="0">
      <alignment horizontal="center" vertical="center"/>
    </xf>
    <xf numFmtId="0" fontId="3" fillId="0" borderId="65" pivotButton="0" quotePrefix="0" xfId="0"/>
    <xf numFmtId="0" fontId="3" fillId="0" borderId="65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3" fillId="0" borderId="23" applyAlignment="1" pivotButton="0" quotePrefix="0" xfId="0">
      <alignment horizontal="center"/>
    </xf>
    <xf numFmtId="0" fontId="3" fillId="2" borderId="18" applyAlignment="1" pivotButton="0" quotePrefix="0" xfId="0">
      <alignment horizontal="center"/>
    </xf>
    <xf numFmtId="0" fontId="3" fillId="2" borderId="66" applyAlignment="1" pivotButton="0" quotePrefix="0" xfId="0">
      <alignment horizontal="center"/>
    </xf>
    <xf numFmtId="166" fontId="2" fillId="0" borderId="67" pivotButton="0" quotePrefix="0" xfId="0"/>
    <xf numFmtId="0" fontId="2" fillId="0" borderId="67" applyAlignment="1" pivotButton="0" quotePrefix="1" xfId="0">
      <alignment horizontal="center"/>
    </xf>
    <xf numFmtId="0" fontId="2" fillId="0" borderId="67" applyAlignment="1" pivotButton="0" quotePrefix="0" xfId="0">
      <alignment horizontal="center"/>
    </xf>
    <xf numFmtId="49" fontId="2" fillId="0" borderId="67" applyAlignment="1" pivotButton="0" quotePrefix="1" xfId="0">
      <alignment horizontal="center"/>
    </xf>
    <xf numFmtId="0" fontId="34" fillId="11" borderId="1" applyAlignment="1" pivotButton="0" quotePrefix="0" xfId="0">
      <alignment horizontal="center"/>
    </xf>
    <xf numFmtId="0" fontId="34" fillId="11" borderId="2" applyAlignment="1" pivotButton="0" quotePrefix="0" xfId="0">
      <alignment horizontal="center"/>
    </xf>
    <xf numFmtId="0" fontId="2" fillId="3" borderId="18" applyAlignment="1" pivotButton="0" quotePrefix="0" xfId="0">
      <alignment horizontal="center"/>
    </xf>
    <xf numFmtId="0" fontId="2" fillId="3" borderId="68" applyAlignment="1" pivotButton="0" quotePrefix="0" xfId="0">
      <alignment horizontal="center"/>
    </xf>
    <xf numFmtId="0" fontId="34" fillId="11" borderId="69" applyAlignment="1" pivotButton="0" quotePrefix="0" xfId="0">
      <alignment horizontal="center"/>
    </xf>
    <xf numFmtId="0" fontId="34" fillId="11" borderId="70" applyAlignment="1" pivotButton="0" quotePrefix="0" xfId="0">
      <alignment horizontal="center"/>
    </xf>
    <xf numFmtId="0" fontId="2" fillId="0" borderId="71" applyAlignment="1" pivotButton="0" quotePrefix="0" xfId="0">
      <alignment horizontal="center"/>
    </xf>
    <xf numFmtId="0" fontId="34" fillId="11" borderId="2" applyAlignment="1" pivotButton="0" quotePrefix="1" xfId="0">
      <alignment horizontal="center"/>
    </xf>
    <xf numFmtId="166" fontId="2" fillId="0" borderId="71" pivotButton="0" quotePrefix="0" xfId="0"/>
    <xf numFmtId="0" fontId="34" fillId="11" borderId="70" applyAlignment="1" pivotButton="0" quotePrefix="1" xfId="0">
      <alignment horizontal="center"/>
    </xf>
    <xf numFmtId="0" fontId="2" fillId="0" borderId="0" applyAlignment="1" pivotButton="0" quotePrefix="0" xfId="0">
      <alignment horizontal="center" vertical="top" wrapText="1"/>
    </xf>
    <xf numFmtId="0" fontId="19" fillId="0" borderId="0" applyAlignment="1" pivotButton="0" quotePrefix="0" xfId="0">
      <alignment horizontal="center" wrapText="1"/>
    </xf>
    <xf numFmtId="0" fontId="3" fillId="12" borderId="42" applyAlignment="1" pivotButton="0" quotePrefix="0" xfId="0">
      <alignment horizontal="center"/>
    </xf>
    <xf numFmtId="0" fontId="3" fillId="12" borderId="50" applyAlignment="1" pivotButton="0" quotePrefix="0" xfId="0">
      <alignment horizontal="center"/>
    </xf>
    <xf numFmtId="0" fontId="3" fillId="12" borderId="72" applyAlignment="1" pivotButton="0" quotePrefix="0" xfId="0">
      <alignment horizontal="center"/>
    </xf>
    <xf numFmtId="0" fontId="5" fillId="3" borderId="73" applyAlignment="1" pivotButton="0" quotePrefix="0" xfId="0">
      <alignment vertical="center"/>
    </xf>
    <xf numFmtId="0" fontId="2" fillId="0" borderId="51" applyAlignment="1" pivotButton="0" quotePrefix="0" xfId="0">
      <alignment horizontal="center" vertical="center" wrapText="1"/>
    </xf>
    <xf numFmtId="0" fontId="2" fillId="3" borderId="74" applyAlignment="1" pivotButton="0" quotePrefix="0" xfId="0">
      <alignment horizontal="center" vertical="center" wrapText="1"/>
    </xf>
    <xf numFmtId="0" fontId="2" fillId="0" borderId="75" applyAlignment="1" pivotButton="0" quotePrefix="0" xfId="0">
      <alignment horizontal="center" vertical="center" wrapText="1"/>
    </xf>
    <xf numFmtId="0" fontId="2" fillId="3" borderId="76" applyAlignment="1" pivotButton="0" quotePrefix="0" xfId="0">
      <alignment horizontal="center" vertical="center" wrapText="1"/>
    </xf>
    <xf numFmtId="0" fontId="2" fillId="0" borderId="77" applyAlignment="1" pivotButton="0" quotePrefix="0" xfId="0">
      <alignment horizontal="center" vertical="center" wrapText="1"/>
    </xf>
    <xf numFmtId="0" fontId="2" fillId="3" borderId="74" applyAlignment="1" pivotButton="0" quotePrefix="0" xfId="0">
      <alignment horizontal="center" vertical="center"/>
    </xf>
    <xf numFmtId="0" fontId="2" fillId="0" borderId="78" applyAlignment="1" pivotButton="0" quotePrefix="0" xfId="0">
      <alignment horizontal="center" vertical="center"/>
    </xf>
    <xf numFmtId="0" fontId="35" fillId="13" borderId="18" pivotButton="0" quotePrefix="0" xfId="0"/>
    <xf numFmtId="164" fontId="5" fillId="3" borderId="73" applyAlignment="1" pivotButton="0" quotePrefix="0" xfId="0">
      <alignment vertical="center"/>
    </xf>
    <xf numFmtId="0" fontId="2" fillId="3" borderId="79" applyAlignment="1" pivotButton="0" quotePrefix="0" xfId="0">
      <alignment horizontal="center" vertical="center" wrapText="1"/>
    </xf>
    <xf numFmtId="0" fontId="2" fillId="0" borderId="80" applyAlignment="1" pivotButton="0" quotePrefix="0" xfId="0">
      <alignment horizontal="center" vertical="center"/>
    </xf>
    <xf numFmtId="0" fontId="36" fillId="14" borderId="81" applyAlignment="1" pivotButton="0" quotePrefix="0" xfId="0">
      <alignment horizontal="center" vertical="center" wrapText="1"/>
    </xf>
    <xf numFmtId="0" fontId="3" fillId="12" borderId="42" applyAlignment="1" pivotButton="0" quotePrefix="0" xfId="0">
      <alignment horizontal="center" wrapText="1"/>
    </xf>
    <xf numFmtId="0" fontId="2" fillId="0" borderId="0" applyAlignment="1" pivotButton="0" quotePrefix="0" xfId="0">
      <alignment horizontal="center" vertical="center" wrapText="1"/>
    </xf>
    <xf numFmtId="0" fontId="2" fillId="0" borderId="8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wrapText="1"/>
    </xf>
    <xf numFmtId="0" fontId="5" fillId="0" borderId="82" applyAlignment="1" pivotButton="0" quotePrefix="0" xfId="0">
      <alignment horizontal="center"/>
    </xf>
    <xf numFmtId="0" fontId="8" fillId="0" borderId="82" pivotButton="0" quotePrefix="0" xfId="0"/>
    <xf numFmtId="0" fontId="5" fillId="0" borderId="45" applyAlignment="1" pivotButton="0" quotePrefix="0" xfId="0">
      <alignment horizontal="center" vertical="center" textRotation="90"/>
    </xf>
    <xf numFmtId="0" fontId="37" fillId="0" borderId="83" pivotButton="0" quotePrefix="0" xfId="0"/>
    <xf numFmtId="0" fontId="2" fillId="0" borderId="84" applyAlignment="1" pivotButton="0" quotePrefix="0" xfId="0">
      <alignment horizontal="center"/>
    </xf>
    <xf numFmtId="0" fontId="2" fillId="0" borderId="83" applyAlignment="1" pivotButton="0" quotePrefix="0" xfId="0">
      <alignment horizontal="center"/>
    </xf>
    <xf numFmtId="0" fontId="2" fillId="0" borderId="85" applyAlignment="1" pivotButton="0" quotePrefix="0" xfId="0">
      <alignment horizontal="left"/>
    </xf>
    <xf numFmtId="1" fontId="36" fillId="0" borderId="0" applyAlignment="1" pivotButton="0" quotePrefix="0" xfId="0">
      <alignment horizontal="center"/>
    </xf>
    <xf numFmtId="0" fontId="2" fillId="0" borderId="83" applyAlignment="1" pivotButton="0" quotePrefix="0" xfId="0">
      <alignment horizontal="left"/>
    </xf>
    <xf numFmtId="0" fontId="2" fillId="0" borderId="52" pivotButton="0" quotePrefix="0" xfId="0"/>
    <xf numFmtId="0" fontId="0" fillId="0" borderId="0" pivotButton="0" quotePrefix="0" xfId="0"/>
    <xf numFmtId="0" fontId="0" fillId="0" borderId="7" pivotButton="0" quotePrefix="0" xfId="0"/>
    <xf numFmtId="0" fontId="0" fillId="0" borderId="37" pivotButton="0" quotePrefix="0" xfId="0"/>
    <xf numFmtId="0" fontId="26" fillId="7" borderId="86" applyAlignment="1" pivotButton="0" quotePrefix="0" xfId="0">
      <alignment horizontal="center" vertical="center"/>
    </xf>
    <xf numFmtId="0" fontId="0" fillId="0" borderId="38" pivotButton="0" quotePrefix="0" xfId="0"/>
    <xf numFmtId="0" fontId="0" fillId="0" borderId="44" pivotButton="0" quotePrefix="0" xfId="0"/>
    <xf numFmtId="0" fontId="0" fillId="0" borderId="45" pivotButton="0" quotePrefix="0" xfId="0"/>
    <xf numFmtId="0" fontId="22" fillId="0" borderId="45" applyAlignment="1" pivotButton="0" quotePrefix="0" xfId="0">
      <alignment horizontal="left" vertical="center" wrapText="1"/>
    </xf>
    <xf numFmtId="0" fontId="27" fillId="8" borderId="50" applyAlignment="1" pivotButton="0" quotePrefix="0" xfId="0">
      <alignment horizontal="center" vertical="center"/>
    </xf>
    <xf numFmtId="164" fontId="2" fillId="0" borderId="32" applyAlignment="1" pivotButton="0" quotePrefix="0" xfId="0">
      <alignment horizontal="center" vertical="center"/>
    </xf>
    <xf numFmtId="0" fontId="0" fillId="0" borderId="32" pivotButton="0" quotePrefix="0" xfId="0"/>
    <xf numFmtId="0" fontId="24" fillId="0" borderId="38" applyAlignment="1" pivotButton="0" quotePrefix="0" xfId="0">
      <alignment horizontal="center" vertical="center"/>
    </xf>
  </cellXfs>
  <cellStyles count="1">
    <cellStyle name="Normal" xfId="0" builtinId="0"/>
  </cellStyles>
  <dxfs count="4">
    <dxf>
      <font/>
      <fill>
        <patternFill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EEAF6"/>
          <bgColor rgb="FFDEEAF6"/>
        </patternFill>
      </fill>
      <border/>
    </dxf>
    <dxf>
      <font/>
      <fill>
        <patternFill patternType="solid">
          <fgColor rgb="FFBDD6EE"/>
          <bgColor rgb="FFBDD6EE"/>
        </patternFill>
      </fill>
      <border/>
    </dxf>
  </dxfs>
  <tableStyles count="6" defaultTableStyle="TableStyleMedium9" defaultPivotStyle="PivotStyleLight16">
    <tableStyle name="Massimali-style" pivot="0" count="3">
      <tableStyleElement type="headerRow" dxfId="1"/>
      <tableStyleElement type="firstRowStripe" dxfId="2"/>
      <tableStyleElement type="secondRowStripe" dxfId="3"/>
    </tableStyle>
    <tableStyle name="Massimali-style 2" pivot="0" count="3">
      <tableStyleElement type="headerRow" dxfId="1"/>
      <tableStyleElement type="firstRowStripe" dxfId="2"/>
      <tableStyleElement type="secondRowStripe" dxfId="3"/>
    </tableStyle>
    <tableStyle name="Glossario-style" pivot="0" count="3">
      <tableStyleElement type="headerRow" dxfId="1"/>
      <tableStyleElement type="firstRowStripe" dxfId="2"/>
      <tableStyleElement type="secondRowStripe" dxfId="3"/>
    </tableStyle>
    <tableStyle name="Volumi allenamento-style" pivot="0" count="3">
      <tableStyleElement type="headerRow" dxfId="1"/>
      <tableStyleElement type="firstRowStripe" dxfId="2"/>
      <tableStyleElement type="secondRowStripe" dxfId="3"/>
    </tableStyle>
    <tableStyle name="Volumi allenamento-style 2" pivot="0" count="3">
      <tableStyleElement type="headerRow" dxfId="1"/>
      <tableStyleElement type="firstRowStripe" dxfId="2"/>
      <tableStyleElement type="secondRowStripe" dxfId="3"/>
    </tableStyle>
    <tableStyle name="Volumi allenamento-style 3" pivot="0" count="3">
      <tableStyleElement type="headerRow" dxfId="1"/>
      <tableStyleElement type="firstRowStripe" dxfId="2"/>
      <tableStyleElement type="secondRowStripe" dxfId="3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10</col>
      <colOff>209550</colOff>
      <row>72</row>
      <rowOff>19050</rowOff>
    </from>
    <ext cx="1247775" cy="447675"/>
    <pic>
      <nvPicPr>
        <cNvPr id="0" name="image3.png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codeName="Foglio6">
    <outlinePr summaryBelow="1" summaryRight="1"/>
    <pageSetUpPr fitToPage="1"/>
  </sheetPr>
  <dimension ref="C3:AU102"/>
  <sheetViews>
    <sheetView workbookViewId="0">
      <selection activeCell="A1" sqref="A1"/>
    </sheetView>
  </sheetViews>
  <sheetFormatPr baseColWidth="8" defaultColWidth="14.43" defaultRowHeight="15" customHeight="1"/>
  <cols>
    <col width="8.859999999999999" customWidth="1" style="296" min="1" max="2"/>
    <col width="4" customWidth="1" style="296" min="3" max="3"/>
    <col width="25.71" customWidth="1" style="296" min="4" max="4"/>
    <col width="6.29" customWidth="1" style="296" min="5" max="8"/>
    <col hidden="1" outlineLevel="1" width="6.29" customWidth="1" style="296" min="9" max="9"/>
    <col hidden="1" outlineLevel="1" width="8.710000000000001" customWidth="1" style="296" min="10" max="10"/>
    <col width="6.29" customWidth="1" style="296" min="11" max="14"/>
    <col hidden="1" outlineLevel="1" width="6.29" customWidth="1" style="296" min="15" max="16"/>
    <col width="6.29" customWidth="1" style="296" min="17" max="20"/>
    <col hidden="1" outlineLevel="1" width="6.29" customWidth="1" style="296" min="21" max="22"/>
    <col width="6.29" customWidth="1" style="296" min="23" max="26"/>
    <col hidden="1" outlineLevel="1" width="6.29" customWidth="1" style="296" min="27" max="28"/>
    <col width="4.86" customWidth="1" style="296" min="29" max="32"/>
    <col width="22.86" customWidth="1" style="296" min="33" max="33"/>
    <col width="4.86" customWidth="1" style="296" min="34" max="34"/>
    <col width="4.29" customWidth="1" style="296" min="35" max="35"/>
    <col width="3.43" customWidth="1" style="296" min="36" max="36"/>
    <col width="17.29" customWidth="1" style="296" min="37" max="37"/>
    <col width="4.71" customWidth="1" style="296" min="38" max="47"/>
  </cols>
  <sheetData>
    <row r="3" hidden="1" s="296">
      <c r="C3" s="97" t="inlineStr">
        <is>
          <t>WEEK 1-4</t>
        </is>
      </c>
      <c r="D3" s="98" t="n"/>
      <c r="G3" s="99" t="n"/>
      <c r="H3" s="99" t="n"/>
      <c r="I3" s="100" t="n"/>
      <c r="J3" s="100" t="n"/>
      <c r="L3" s="101" t="inlineStr">
        <is>
          <t>INVERNO 2023</t>
        </is>
      </c>
      <c r="M3" s="297" t="n"/>
      <c r="N3" s="103" t="n"/>
      <c r="O3" s="103" t="n"/>
      <c r="P3" s="103" t="n"/>
      <c r="Q3" s="103" t="n"/>
      <c r="S3" s="103" t="n"/>
      <c r="T3" s="103" t="n"/>
      <c r="U3" s="103" t="n"/>
      <c r="V3" s="103" t="n"/>
      <c r="W3" s="103" t="n"/>
      <c r="X3" s="103" t="n"/>
      <c r="Y3" s="103" t="n"/>
      <c r="Z3" s="103" t="n"/>
      <c r="AA3" s="103" t="n"/>
      <c r="AB3" s="103" t="n"/>
      <c r="AC3" s="104" t="inlineStr">
        <is>
          <t>SAMUELE MALAVASI</t>
        </is>
      </c>
      <c r="AG3" s="105" t="n"/>
      <c r="AH3" s="105" t="n"/>
      <c r="AI3" s="105" t="n"/>
    </row>
    <row r="4" hidden="1" ht="39.75" customHeight="1" s="296">
      <c r="C4" s="106" t="n"/>
      <c r="D4" s="298" t="n"/>
      <c r="E4" s="298" t="n"/>
      <c r="F4" s="298" t="n"/>
      <c r="G4" s="298" t="n"/>
      <c r="H4" s="298" t="n"/>
      <c r="I4" s="298" t="n"/>
      <c r="J4" s="298" t="n"/>
      <c r="K4" s="298" t="n"/>
      <c r="L4" s="298" t="n"/>
      <c r="M4" s="298" t="n"/>
      <c r="N4" s="298" t="n"/>
      <c r="O4" s="298" t="n"/>
      <c r="P4" s="298" t="n"/>
      <c r="Q4" s="298" t="n"/>
      <c r="R4" s="298" t="n"/>
      <c r="S4" s="298" t="n"/>
      <c r="T4" s="298" t="n"/>
      <c r="U4" s="298" t="n"/>
      <c r="V4" s="298" t="n"/>
      <c r="W4" s="298" t="n"/>
      <c r="X4" s="298" t="n"/>
      <c r="Y4" s="298" t="n"/>
      <c r="AA4" s="108" t="n"/>
      <c r="AB4" s="108" t="n"/>
      <c r="AC4" s="109" t="inlineStr">
        <is>
          <t xml:space="preserve">S M </t>
        </is>
      </c>
      <c r="AD4" s="89" t="n"/>
      <c r="AG4" s="110" t="n"/>
      <c r="AH4" s="110" t="n"/>
      <c r="AI4" s="110" t="n"/>
    </row>
    <row r="5" hidden="1" ht="18" customHeight="1" s="296">
      <c r="C5" s="299" t="inlineStr">
        <is>
          <t>2023_01_SOSPENSIONI</t>
        </is>
      </c>
      <c r="D5" s="298" t="n"/>
      <c r="E5" s="298" t="n"/>
      <c r="F5" s="298" t="n"/>
      <c r="G5" s="298" t="n"/>
      <c r="H5" s="298" t="n"/>
      <c r="I5" s="298" t="n"/>
      <c r="J5" s="298" t="n"/>
      <c r="K5" s="298" t="n"/>
      <c r="L5" s="298" t="n"/>
      <c r="M5" s="298" t="n"/>
      <c r="N5" s="298" t="n"/>
      <c r="O5" s="298" t="n"/>
      <c r="P5" s="298" t="n"/>
      <c r="Q5" s="298" t="n"/>
      <c r="R5" s="298" t="n"/>
      <c r="S5" s="298" t="n"/>
      <c r="T5" s="298" t="n"/>
      <c r="U5" s="298" t="n"/>
      <c r="V5" s="298" t="n"/>
      <c r="W5" s="298" t="n"/>
      <c r="X5" s="298" t="n"/>
      <c r="Y5" s="298" t="n"/>
      <c r="Z5" s="298" t="n"/>
      <c r="AA5" s="298" t="n"/>
      <c r="AB5" s="298" t="n"/>
      <c r="AC5" s="300" t="n"/>
    </row>
    <row r="6" hidden="1" ht="14.25" customHeight="1" s="296">
      <c r="C6" s="113" t="n"/>
      <c r="D6" s="114" t="n"/>
      <c r="E6" s="114" t="n"/>
      <c r="F6" s="114" t="n"/>
      <c r="G6" s="114" t="n"/>
      <c r="H6" s="114" t="n"/>
      <c r="I6" s="114" t="n"/>
      <c r="J6" s="114" t="n"/>
      <c r="K6" s="114" t="n"/>
      <c r="L6" s="114" t="n"/>
      <c r="M6" s="114" t="n"/>
      <c r="N6" s="114" t="n"/>
      <c r="O6" s="114" t="n"/>
      <c r="P6" s="114" t="n"/>
      <c r="Q6" s="114" t="n"/>
      <c r="R6" s="114" t="n"/>
      <c r="S6" s="114" t="n"/>
      <c r="T6" s="114" t="n"/>
      <c r="U6" s="114" t="n"/>
      <c r="V6" s="114" t="n"/>
      <c r="W6" s="114" t="n"/>
      <c r="X6" s="114" t="n"/>
      <c r="Y6" s="114" t="n"/>
      <c r="Z6" s="114" t="n"/>
      <c r="AA6" s="114" t="n"/>
      <c r="AB6" s="114" t="n"/>
      <c r="AC6" s="115" t="n"/>
      <c r="AG6" s="105" t="n"/>
      <c r="AH6" s="105" t="n"/>
      <c r="AI6" s="105" t="n"/>
    </row>
    <row r="7" hidden="1" s="296">
      <c r="C7" s="116" t="n"/>
      <c r="D7" s="97" t="inlineStr">
        <is>
          <t>FORZA 1 - Massimale</t>
        </is>
      </c>
      <c r="E7" s="118" t="inlineStr">
        <is>
          <t>Wk 1</t>
        </is>
      </c>
      <c r="H7" s="301" t="n"/>
      <c r="I7" s="118" t="n"/>
      <c r="J7" s="118" t="n"/>
      <c r="K7" s="118" t="inlineStr">
        <is>
          <t>Wk 2</t>
        </is>
      </c>
      <c r="N7" s="301" t="n"/>
      <c r="O7" s="118" t="n"/>
      <c r="P7" s="118" t="n"/>
      <c r="Q7" s="118" t="inlineStr">
        <is>
          <t>Wk 3</t>
        </is>
      </c>
      <c r="T7" s="301" t="n"/>
      <c r="U7" s="118" t="n"/>
      <c r="V7" s="118" t="n"/>
      <c r="W7" s="118" t="inlineStr">
        <is>
          <t>Wk 4</t>
        </is>
      </c>
      <c r="Z7" s="301" t="n"/>
      <c r="AA7" s="119" t="n"/>
      <c r="AB7" s="119" t="n"/>
      <c r="AC7" s="120" t="n"/>
    </row>
    <row r="8" hidden="1" s="296">
      <c r="C8" s="116" t="n"/>
      <c r="D8" s="121" t="inlineStr">
        <is>
          <t>Esercizio</t>
        </is>
      </c>
      <c r="E8" s="122" t="inlineStr">
        <is>
          <t>TEMPO</t>
        </is>
      </c>
      <c r="F8" s="123" t="inlineStr">
        <is>
          <t>REP</t>
        </is>
      </c>
      <c r="G8" s="122" t="inlineStr">
        <is>
          <t>SET</t>
        </is>
      </c>
      <c r="H8" s="124" t="inlineStr">
        <is>
          <t>CARICO</t>
        </is>
      </c>
      <c r="I8" s="125" t="inlineStr">
        <is>
          <t>Rest</t>
        </is>
      </c>
      <c r="J8" s="125" t="inlineStr">
        <is>
          <t>TUT es</t>
        </is>
      </c>
      <c r="K8" s="122" t="inlineStr">
        <is>
          <t>TEMPO</t>
        </is>
      </c>
      <c r="L8" s="123" t="inlineStr">
        <is>
          <t>REP</t>
        </is>
      </c>
      <c r="M8" s="122" t="inlineStr">
        <is>
          <t>SET</t>
        </is>
      </c>
      <c r="N8" s="124" t="inlineStr">
        <is>
          <t>CARICO</t>
        </is>
      </c>
      <c r="O8" s="125" t="inlineStr">
        <is>
          <t>Rest</t>
        </is>
      </c>
      <c r="P8" s="125" t="inlineStr">
        <is>
          <t>TUT es</t>
        </is>
      </c>
      <c r="Q8" s="122" t="inlineStr">
        <is>
          <t>TEMPO</t>
        </is>
      </c>
      <c r="R8" s="123" t="inlineStr">
        <is>
          <t>REP</t>
        </is>
      </c>
      <c r="S8" s="122" t="inlineStr">
        <is>
          <t>SET</t>
        </is>
      </c>
      <c r="T8" s="124" t="inlineStr">
        <is>
          <t>CARICO</t>
        </is>
      </c>
      <c r="U8" s="125" t="inlineStr">
        <is>
          <t>Rest</t>
        </is>
      </c>
      <c r="V8" s="125" t="inlineStr">
        <is>
          <t>TUT es</t>
        </is>
      </c>
      <c r="W8" s="122" t="inlineStr">
        <is>
          <t>TEMPO</t>
        </is>
      </c>
      <c r="X8" s="123" t="inlineStr">
        <is>
          <t>REP</t>
        </is>
      </c>
      <c r="Y8" s="122" t="inlineStr">
        <is>
          <t>SET</t>
        </is>
      </c>
      <c r="Z8" s="124" t="inlineStr">
        <is>
          <t>CARICO</t>
        </is>
      </c>
      <c r="AA8" s="125" t="inlineStr">
        <is>
          <t>Rest</t>
        </is>
      </c>
      <c r="AB8" s="125" t="inlineStr">
        <is>
          <t>TUT es</t>
        </is>
      </c>
      <c r="AC8" s="120" t="n"/>
    </row>
    <row r="9" hidden="1" s="296">
      <c r="C9" s="116" t="n"/>
      <c r="D9" s="126" t="inlineStr">
        <is>
          <t>Sospensioni due mani dita stese 20mm</t>
        </is>
      </c>
      <c r="E9" s="127" t="n">
        <v>8</v>
      </c>
      <c r="F9" s="128" t="n">
        <v>2</v>
      </c>
      <c r="G9" s="127" t="n">
        <v>3</v>
      </c>
      <c r="H9" s="129" t="n"/>
      <c r="I9" s="130" t="n"/>
      <c r="J9" s="130">
        <f>(E9*F9)+(F9*I9)</f>
        <v/>
      </c>
      <c r="K9" s="127" t="n">
        <v>8</v>
      </c>
      <c r="L9" s="128" t="n">
        <v>2</v>
      </c>
      <c r="M9" s="127" t="n">
        <v>3</v>
      </c>
      <c r="N9" s="129" t="n"/>
      <c r="O9" s="131">
        <f>$I9</f>
        <v/>
      </c>
      <c r="P9" s="130">
        <f>(K9*L9)+(L9*O9)</f>
        <v/>
      </c>
      <c r="Q9" s="127" t="n">
        <v>8</v>
      </c>
      <c r="R9" s="128" t="n">
        <v>2</v>
      </c>
      <c r="S9" s="127" t="n">
        <v>3</v>
      </c>
      <c r="T9" s="129" t="n"/>
      <c r="U9" s="131">
        <f>$I9</f>
        <v/>
      </c>
      <c r="V9" s="130">
        <f>(Q9*R9)+(R9*U9)</f>
        <v/>
      </c>
      <c r="W9" s="127" t="n">
        <v>8</v>
      </c>
      <c r="X9" s="128" t="n">
        <v>2</v>
      </c>
      <c r="Y9" s="127" t="n">
        <v>4</v>
      </c>
      <c r="Z9" s="129" t="n"/>
      <c r="AA9" s="131">
        <f>$I9</f>
        <v/>
      </c>
      <c r="AB9" s="130">
        <f>(W9*X9)+(X9*AA9)</f>
        <v/>
      </c>
      <c r="AC9" s="120" t="n"/>
      <c r="AD9" s="97" t="n"/>
      <c r="AE9" s="97" t="n"/>
      <c r="AF9" s="97" t="n"/>
    </row>
    <row r="10" hidden="1" ht="30" customHeight="1" s="296">
      <c r="C10" s="116" t="n"/>
      <c r="D10" s="132" t="inlineStr">
        <is>
          <t>Sospensioni bidito (alterna anulare e indice, ripetizioni per coppia di dita)</t>
        </is>
      </c>
      <c r="E10" s="133" t="n">
        <v>7</v>
      </c>
      <c r="F10" s="133" t="n">
        <v>2</v>
      </c>
      <c r="G10" s="133" t="n">
        <v>3</v>
      </c>
      <c r="H10" s="134" t="inlineStr">
        <is>
          <t>Scarico violento</t>
        </is>
      </c>
      <c r="I10" s="135" t="n"/>
      <c r="J10" s="135">
        <f>(E10*F10)+(F10*I10)</f>
        <v/>
      </c>
      <c r="K10" s="133" t="n">
        <v>7</v>
      </c>
      <c r="L10" s="133" t="n">
        <v>2</v>
      </c>
      <c r="M10" s="133" t="n">
        <v>3</v>
      </c>
      <c r="N10" s="134" t="inlineStr">
        <is>
          <t>Scarico violento</t>
        </is>
      </c>
      <c r="O10" s="136">
        <f>$I10</f>
        <v/>
      </c>
      <c r="P10" s="135">
        <f>(K10*L10)+(L10*O10)</f>
        <v/>
      </c>
      <c r="Q10" s="133" t="n">
        <v>7</v>
      </c>
      <c r="R10" s="133" t="n">
        <v>2</v>
      </c>
      <c r="S10" s="133" t="n">
        <v>3</v>
      </c>
      <c r="T10" s="134" t="inlineStr">
        <is>
          <t>Scarico violento</t>
        </is>
      </c>
      <c r="U10" s="136">
        <f>$I10</f>
        <v/>
      </c>
      <c r="V10" s="135">
        <f>(Q10*R10)+(R10*U10)</f>
        <v/>
      </c>
      <c r="W10" s="133" t="n">
        <v>7</v>
      </c>
      <c r="X10" s="133" t="n">
        <v>2</v>
      </c>
      <c r="Y10" s="133" t="n">
        <v>3</v>
      </c>
      <c r="Z10" s="134" t="inlineStr">
        <is>
          <t>Scarico violento</t>
        </is>
      </c>
      <c r="AA10" s="136">
        <f>$I10</f>
        <v/>
      </c>
      <c r="AB10" s="135">
        <f>(W10*X10)+(X10*AA10)</f>
        <v/>
      </c>
      <c r="AC10" s="120" t="n"/>
      <c r="AD10" s="89" t="n"/>
    </row>
    <row r="11" hidden="1" s="296">
      <c r="C11" s="116" t="n"/>
      <c r="D11" s="126" t="inlineStr">
        <is>
          <t>No hang pulls semiarcuate 20mm</t>
        </is>
      </c>
      <c r="E11" s="130" t="n">
        <v>5</v>
      </c>
      <c r="F11" s="127" t="n">
        <v>2</v>
      </c>
      <c r="G11" s="127" t="n">
        <v>3</v>
      </c>
      <c r="H11" s="129" t="n"/>
      <c r="I11" s="130" t="n"/>
      <c r="J11" s="130">
        <f>(E11*F11)+(F11*I11)</f>
        <v/>
      </c>
      <c r="K11" s="130" t="n">
        <v>5</v>
      </c>
      <c r="L11" s="127" t="n">
        <v>2</v>
      </c>
      <c r="M11" s="127" t="n">
        <v>4</v>
      </c>
      <c r="N11" s="129" t="n"/>
      <c r="O11" s="131">
        <f>$I11</f>
        <v/>
      </c>
      <c r="P11" s="130">
        <f>(K11*L11)+(L11*O11)</f>
        <v/>
      </c>
      <c r="Q11" s="130" t="n">
        <v>5</v>
      </c>
      <c r="R11" s="127" t="n">
        <v>2</v>
      </c>
      <c r="S11" s="127" t="n">
        <v>4</v>
      </c>
      <c r="T11" s="129" t="n"/>
      <c r="U11" s="131">
        <f>$I11</f>
        <v/>
      </c>
      <c r="V11" s="130">
        <f>(Q11*R11)+(R11*U11)</f>
        <v/>
      </c>
      <c r="W11" s="130" t="n">
        <v>5</v>
      </c>
      <c r="X11" s="127" t="n">
        <v>2</v>
      </c>
      <c r="Y11" s="127" t="n">
        <v>4</v>
      </c>
      <c r="Z11" s="129" t="n"/>
      <c r="AA11" s="131">
        <f>$I11</f>
        <v/>
      </c>
      <c r="AB11" s="130">
        <f>(W11*X11)+(X11*AA11)</f>
        <v/>
      </c>
      <c r="AC11" s="120" t="n"/>
    </row>
    <row r="12" hidden="1" s="296">
      <c r="C12" s="116" t="n"/>
      <c r="D12" s="137" t="inlineStr">
        <is>
          <t>Sospensione pinze</t>
        </is>
      </c>
      <c r="E12" s="133" t="n">
        <v>6</v>
      </c>
      <c r="F12" s="133" t="n">
        <v>2</v>
      </c>
      <c r="G12" s="133" t="n">
        <v>3</v>
      </c>
      <c r="H12" s="138" t="n"/>
      <c r="I12" s="135" t="n"/>
      <c r="J12" s="135" t="n"/>
      <c r="K12" s="133" t="n">
        <v>6</v>
      </c>
      <c r="L12" s="133" t="n">
        <v>2</v>
      </c>
      <c r="M12" s="133" t="n">
        <v>3</v>
      </c>
      <c r="N12" s="138" t="n"/>
      <c r="O12" s="135" t="n"/>
      <c r="P12" s="135" t="n"/>
      <c r="Q12" s="133" t="n">
        <v>6</v>
      </c>
      <c r="R12" s="133" t="n">
        <v>2</v>
      </c>
      <c r="S12" s="133" t="n">
        <v>4</v>
      </c>
      <c r="T12" s="138" t="n"/>
      <c r="U12" s="135" t="n"/>
      <c r="V12" s="135" t="n"/>
      <c r="W12" s="133" t="n">
        <v>6</v>
      </c>
      <c r="X12" s="133" t="n">
        <v>2</v>
      </c>
      <c r="Y12" s="133" t="n">
        <v>4</v>
      </c>
      <c r="Z12" s="138" t="n"/>
      <c r="AA12" s="135" t="n"/>
      <c r="AB12" s="135" t="n"/>
      <c r="AC12" s="120" t="n"/>
    </row>
    <row r="13" hidden="1" s="296">
      <c r="C13" s="116" t="n"/>
      <c r="D13" s="126" t="inlineStr">
        <is>
          <t>Sospensione due mani 20mm</t>
        </is>
      </c>
      <c r="E13" s="139" t="inlineStr">
        <is>
          <t>AMRAP</t>
        </is>
      </c>
      <c r="F13" s="127" t="n">
        <v>1</v>
      </c>
      <c r="G13" s="127" t="n">
        <v>1</v>
      </c>
      <c r="H13" s="140" t="n">
        <v>24</v>
      </c>
      <c r="I13" s="130" t="n"/>
      <c r="J13" s="130" t="n"/>
      <c r="K13" s="139" t="inlineStr">
        <is>
          <t>AMRAP</t>
        </is>
      </c>
      <c r="L13" s="127" t="n">
        <v>1</v>
      </c>
      <c r="M13" s="127" t="n">
        <v>1</v>
      </c>
      <c r="N13" s="140" t="n">
        <v>24</v>
      </c>
      <c r="O13" s="130" t="n"/>
      <c r="P13" s="130" t="n"/>
      <c r="Q13" s="139" t="inlineStr">
        <is>
          <t>AMRAP</t>
        </is>
      </c>
      <c r="R13" s="127" t="n">
        <v>1</v>
      </c>
      <c r="S13" s="127" t="n">
        <v>1</v>
      </c>
      <c r="T13" s="140" t="n">
        <v>24</v>
      </c>
      <c r="U13" s="130" t="n"/>
      <c r="V13" s="130" t="n"/>
      <c r="W13" s="139" t="inlineStr">
        <is>
          <t>AMRAP</t>
        </is>
      </c>
      <c r="X13" s="127" t="n">
        <v>1</v>
      </c>
      <c r="Y13" s="127" t="n">
        <v>1</v>
      </c>
      <c r="Z13" s="140" t="n">
        <v>24</v>
      </c>
      <c r="AA13" s="130" t="n"/>
      <c r="AB13" s="130" t="n"/>
      <c r="AC13" s="120" t="n"/>
    </row>
    <row r="14" hidden="1" ht="15" customHeight="1" s="296">
      <c r="C14" s="116" t="n"/>
      <c r="D14" s="141" t="inlineStr">
        <is>
          <t>Volume totale:</t>
        </is>
      </c>
      <c r="E14" s="140">
        <f>SUMPRODUCT((E9:E12*F9:F12)*G9:G12)</f>
        <v/>
      </c>
      <c r="H14" s="302" t="n"/>
      <c r="I14" s="130" t="n"/>
      <c r="J14" s="130" t="n"/>
      <c r="K14" s="140">
        <f>SUMPRODUCT((K9:K12*L9:L12)*M9:M12)</f>
        <v/>
      </c>
      <c r="N14" s="302" t="n"/>
      <c r="O14" s="130" t="n"/>
      <c r="P14" s="130" t="n"/>
      <c r="Q14" s="140">
        <f>SUMPRODUCT((Q9:Q12*R9:R12)*S9:S12)</f>
        <v/>
      </c>
      <c r="T14" s="302" t="n"/>
      <c r="U14" s="130" t="n"/>
      <c r="V14" s="130" t="n"/>
      <c r="W14" s="140">
        <f>SUMPRODUCT((W9:W12*X9:X12)*Y9:Y12)</f>
        <v/>
      </c>
      <c r="Z14" s="302" t="n"/>
      <c r="AA14" s="130" t="n"/>
      <c r="AB14" s="130" t="n"/>
      <c r="AC14" s="143" t="n"/>
    </row>
    <row r="15" hidden="1" ht="15" customHeight="1" s="296">
      <c r="C15" s="116" t="n"/>
      <c r="D15" s="141" t="n"/>
      <c r="E15" s="144" t="n"/>
      <c r="F15" s="130" t="n"/>
      <c r="G15" s="130" t="n"/>
      <c r="H15" s="140" t="n"/>
      <c r="I15" s="130" t="n"/>
      <c r="J15" s="130" t="n"/>
      <c r="K15" s="130" t="n"/>
      <c r="L15" s="130" t="n"/>
      <c r="M15" s="130" t="n"/>
      <c r="N15" s="140" t="n"/>
      <c r="O15" s="130" t="n"/>
      <c r="P15" s="130" t="n"/>
      <c r="Q15" s="130" t="n"/>
      <c r="R15" s="130" t="n"/>
      <c r="S15" s="130" t="n"/>
      <c r="T15" s="140" t="n"/>
      <c r="U15" s="130" t="n"/>
      <c r="V15" s="130" t="n"/>
      <c r="W15" s="144" t="n"/>
      <c r="X15" s="130" t="n"/>
      <c r="Y15" s="130" t="n"/>
      <c r="Z15" s="140" t="n"/>
      <c r="AA15" s="145" t="n"/>
      <c r="AB15" s="145" t="n"/>
      <c r="AC15" s="146" t="n"/>
    </row>
    <row r="16" hidden="1" ht="15" customHeight="1" s="296">
      <c r="C16" s="116" t="n"/>
      <c r="D16" s="141" t="inlineStr">
        <is>
          <t xml:space="preserve">Recupero:  </t>
        </is>
      </c>
      <c r="E16" s="303" t="inlineStr">
        <is>
          <t xml:space="preserve"> Tra le ripetizioni 12"
											</t>
        </is>
      </c>
      <c r="H16" s="302" t="n"/>
      <c r="I16" s="147" t="n"/>
      <c r="J16" s="147" t="n"/>
      <c r="K16" s="303" t="inlineStr">
        <is>
          <t xml:space="preserve"> Tra le ripetizioni 12"
											</t>
        </is>
      </c>
      <c r="N16" s="302" t="n"/>
      <c r="O16" s="147" t="n"/>
      <c r="P16" s="147" t="n"/>
      <c r="Q16" s="303" t="inlineStr">
        <is>
          <t xml:space="preserve"> Tra le ripetizioni 12"
											</t>
        </is>
      </c>
      <c r="T16" s="302" t="n"/>
      <c r="U16" s="147" t="n"/>
      <c r="V16" s="147" t="n"/>
      <c r="W16" s="303" t="inlineStr">
        <is>
          <t xml:space="preserve"> Tra le ripetizioni 12"
											</t>
        </is>
      </c>
      <c r="Z16" s="302" t="n"/>
      <c r="AA16" s="147" t="n"/>
      <c r="AB16" s="147" t="n"/>
      <c r="AC16" s="146" t="n"/>
    </row>
    <row r="17" hidden="1" ht="15" customHeight="1" s="296">
      <c r="C17" s="116" t="n"/>
      <c r="D17" s="141" t="n"/>
      <c r="E17" s="303" t="inlineStr">
        <is>
          <t xml:space="preserve"> Tra le serie 2'+</t>
        </is>
      </c>
      <c r="H17" s="302" t="n"/>
      <c r="I17" s="147" t="n"/>
      <c r="J17" s="147" t="n"/>
      <c r="K17" s="303" t="inlineStr">
        <is>
          <t xml:space="preserve"> Tra le serie 2'+</t>
        </is>
      </c>
      <c r="N17" s="302" t="n"/>
      <c r="O17" s="147" t="n"/>
      <c r="P17" s="147" t="n"/>
      <c r="Q17" s="303" t="inlineStr">
        <is>
          <t xml:space="preserve"> Tra le serie 2'+</t>
        </is>
      </c>
      <c r="T17" s="302" t="n"/>
      <c r="U17" s="147" t="n"/>
      <c r="V17" s="147" t="n"/>
      <c r="W17" s="303" t="inlineStr">
        <is>
          <t xml:space="preserve"> Tra le serie 2'+</t>
        </is>
      </c>
      <c r="Z17" s="302" t="n"/>
      <c r="AA17" s="147" t="n"/>
      <c r="AB17" s="147" t="n"/>
      <c r="AC17" s="146" t="n"/>
    </row>
    <row r="18" hidden="1" s="296">
      <c r="C18" s="116" t="n"/>
      <c r="D18" s="141" t="n"/>
      <c r="E18" s="147" t="n"/>
      <c r="F18" s="147" t="n"/>
      <c r="G18" s="147" t="n"/>
      <c r="H18" s="147" t="n"/>
      <c r="I18" s="147" t="n"/>
      <c r="J18" s="147" t="n"/>
      <c r="K18" s="147" t="n"/>
      <c r="L18" s="147" t="n"/>
      <c r="M18" s="147" t="n"/>
      <c r="N18" s="147" t="n"/>
      <c r="O18" s="147" t="n"/>
      <c r="P18" s="147" t="n"/>
      <c r="Q18" s="147" t="n"/>
      <c r="R18" s="147" t="n"/>
      <c r="S18" s="147" t="n"/>
      <c r="T18" s="147" t="n"/>
      <c r="U18" s="147" t="n"/>
      <c r="V18" s="147" t="n"/>
      <c r="W18" s="147" t="n"/>
      <c r="X18" s="147" t="n"/>
      <c r="Y18" s="147" t="n"/>
      <c r="Z18" s="147" t="n"/>
      <c r="AA18" s="147" t="n"/>
      <c r="AB18" s="147" t="n"/>
      <c r="AC18" s="146" t="n"/>
    </row>
    <row r="19" hidden="1" s="296">
      <c r="C19" s="116" t="n"/>
      <c r="D19" s="97" t="inlineStr">
        <is>
          <t>FORZA 2 - RFD e Specificità</t>
        </is>
      </c>
      <c r="E19" s="118" t="inlineStr">
        <is>
          <t>Wk 1</t>
        </is>
      </c>
      <c r="H19" s="301" t="n"/>
      <c r="I19" s="118" t="n"/>
      <c r="J19" s="118" t="n"/>
      <c r="K19" s="304" t="inlineStr">
        <is>
          <t>Wk 2</t>
        </is>
      </c>
      <c r="N19" s="301" t="n"/>
      <c r="O19" s="118" t="n"/>
      <c r="P19" s="118" t="n"/>
      <c r="Q19" s="304" t="inlineStr">
        <is>
          <t>Wk 3</t>
        </is>
      </c>
      <c r="T19" s="301" t="n"/>
      <c r="U19" s="118" t="n"/>
      <c r="V19" s="118" t="n"/>
      <c r="W19" s="304" t="inlineStr">
        <is>
          <t>Wk 4</t>
        </is>
      </c>
      <c r="Z19" s="301" t="n"/>
      <c r="AA19" s="119" t="n"/>
      <c r="AB19" s="119" t="n"/>
      <c r="AC19" s="146" t="n"/>
    </row>
    <row r="20" hidden="1" s="296">
      <c r="C20" s="116" t="n"/>
      <c r="D20" s="121" t="inlineStr">
        <is>
          <t>Esercizio</t>
        </is>
      </c>
      <c r="E20" s="122" t="inlineStr">
        <is>
          <t>TEMPO</t>
        </is>
      </c>
      <c r="F20" s="123" t="inlineStr">
        <is>
          <t>REP</t>
        </is>
      </c>
      <c r="G20" s="122" t="inlineStr">
        <is>
          <t>SET</t>
        </is>
      </c>
      <c r="H20" s="124" t="inlineStr">
        <is>
          <t>CARICO</t>
        </is>
      </c>
      <c r="I20" s="125" t="inlineStr">
        <is>
          <t>Rest</t>
        </is>
      </c>
      <c r="J20" s="125" t="inlineStr">
        <is>
          <t>TUT es</t>
        </is>
      </c>
      <c r="K20" s="122" t="inlineStr">
        <is>
          <t>TEMPO</t>
        </is>
      </c>
      <c r="L20" s="123" t="inlineStr">
        <is>
          <t>REP</t>
        </is>
      </c>
      <c r="M20" s="122" t="inlineStr">
        <is>
          <t>SET</t>
        </is>
      </c>
      <c r="N20" s="124" t="inlineStr">
        <is>
          <t>CARICO</t>
        </is>
      </c>
      <c r="O20" s="125" t="inlineStr">
        <is>
          <t>Rest</t>
        </is>
      </c>
      <c r="P20" s="125" t="inlineStr">
        <is>
          <t>TUT es</t>
        </is>
      </c>
      <c r="Q20" s="122" t="inlineStr">
        <is>
          <t>TEMPO</t>
        </is>
      </c>
      <c r="R20" s="123" t="inlineStr">
        <is>
          <t>REP</t>
        </is>
      </c>
      <c r="S20" s="122" t="inlineStr">
        <is>
          <t>SET</t>
        </is>
      </c>
      <c r="T20" s="124" t="inlineStr">
        <is>
          <t>CARICO</t>
        </is>
      </c>
      <c r="U20" s="125" t="inlineStr">
        <is>
          <t>Rest</t>
        </is>
      </c>
      <c r="V20" s="125" t="inlineStr">
        <is>
          <t>TUT es</t>
        </is>
      </c>
      <c r="W20" s="122" t="inlineStr">
        <is>
          <t>TEMPO</t>
        </is>
      </c>
      <c r="X20" s="123" t="inlineStr">
        <is>
          <t>REP</t>
        </is>
      </c>
      <c r="Y20" s="122" t="inlineStr">
        <is>
          <t>SET</t>
        </is>
      </c>
      <c r="Z20" s="124" t="inlineStr">
        <is>
          <t>CARICO</t>
        </is>
      </c>
      <c r="AA20" s="125" t="inlineStr">
        <is>
          <t>Rest</t>
        </is>
      </c>
      <c r="AB20" s="125" t="inlineStr">
        <is>
          <t>TUT es</t>
        </is>
      </c>
      <c r="AC20" s="146" t="n"/>
    </row>
    <row r="21" hidden="1" ht="15.75" customHeight="1" s="296">
      <c r="C21" s="116" t="n"/>
      <c r="D21" s="126" t="inlineStr">
        <is>
          <t>Velocity no hang pulls monobraccio</t>
        </is>
      </c>
      <c r="E21" s="127" t="n">
        <v>2</v>
      </c>
      <c r="F21" s="128" t="n">
        <v>4</v>
      </c>
      <c r="G21" s="127" t="n">
        <v>3</v>
      </c>
      <c r="H21" s="129" t="n"/>
      <c r="I21" s="130" t="n"/>
      <c r="J21" s="130">
        <f>(E21*F21)+(F21*I21)</f>
        <v/>
      </c>
      <c r="K21" s="127" t="n">
        <v>2</v>
      </c>
      <c r="L21" s="128" t="n">
        <v>4</v>
      </c>
      <c r="M21" s="127" t="n">
        <v>3</v>
      </c>
      <c r="N21" s="129" t="n"/>
      <c r="O21" s="131">
        <f>$I21</f>
        <v/>
      </c>
      <c r="P21" s="130">
        <f>(K21*L21)+(L21*O21)</f>
        <v/>
      </c>
      <c r="Q21" s="127" t="n">
        <v>2</v>
      </c>
      <c r="R21" s="128" t="n">
        <v>4</v>
      </c>
      <c r="S21" s="127" t="n">
        <v>3</v>
      </c>
      <c r="T21" s="129" t="n"/>
      <c r="U21" s="131">
        <f>$I21</f>
        <v/>
      </c>
      <c r="V21" s="130">
        <f>(Q21*R21)+(R21*U21)</f>
        <v/>
      </c>
      <c r="W21" s="127" t="n">
        <v>2</v>
      </c>
      <c r="X21" s="128" t="n">
        <v>4</v>
      </c>
      <c r="Y21" s="127" t="n">
        <v>3</v>
      </c>
      <c r="Z21" s="129" t="n"/>
      <c r="AA21" s="131">
        <f>$I21</f>
        <v/>
      </c>
      <c r="AB21" s="130">
        <f>(W21*X21)+(X21*AA21)</f>
        <v/>
      </c>
      <c r="AC21" s="146" t="n"/>
    </row>
    <row r="22" hidden="1" ht="15.75" customHeight="1" s="296">
      <c r="C22" s="116" t="n"/>
      <c r="D22" s="137" t="inlineStr">
        <is>
          <t>Velocity hangs 20mm</t>
        </is>
      </c>
      <c r="E22" s="133" t="n">
        <v>3</v>
      </c>
      <c r="F22" s="133" t="n">
        <v>3</v>
      </c>
      <c r="G22" s="133" t="n">
        <v>4</v>
      </c>
      <c r="H22" s="149" t="n"/>
      <c r="I22" s="135" t="n"/>
      <c r="J22" s="135">
        <f>(E22*F22)+(F22*I22)</f>
        <v/>
      </c>
      <c r="K22" s="133" t="n">
        <v>3</v>
      </c>
      <c r="L22" s="133" t="n">
        <v>3</v>
      </c>
      <c r="M22" s="133" t="n">
        <v>4</v>
      </c>
      <c r="N22" s="149" t="n"/>
      <c r="O22" s="136">
        <f>$I22</f>
        <v/>
      </c>
      <c r="P22" s="135">
        <f>(K22*L22)+(L22*O22)</f>
        <v/>
      </c>
      <c r="Q22" s="133" t="n">
        <v>3</v>
      </c>
      <c r="R22" s="133" t="n">
        <v>3</v>
      </c>
      <c r="S22" s="133" t="n">
        <v>4</v>
      </c>
      <c r="T22" s="149" t="n"/>
      <c r="U22" s="136">
        <f>$I22</f>
        <v/>
      </c>
      <c r="V22" s="135">
        <f>(Q22*R22)+(R22*U22)</f>
        <v/>
      </c>
      <c r="W22" s="133" t="n">
        <v>3</v>
      </c>
      <c r="X22" s="133" t="n">
        <v>3</v>
      </c>
      <c r="Y22" s="133" t="n">
        <v>4</v>
      </c>
      <c r="Z22" s="149" t="n">
        <v>10</v>
      </c>
      <c r="AA22" s="136">
        <f>$I22</f>
        <v/>
      </c>
      <c r="AB22" s="135">
        <f>(W22*X22)+(X22*AA22)</f>
        <v/>
      </c>
      <c r="AC22" s="146" t="n"/>
    </row>
    <row r="23" hidden="1" ht="15.75" customHeight="1" s="296">
      <c r="C23" s="116" t="n"/>
      <c r="D23" s="126" t="inlineStr">
        <is>
          <t>Sospensioni micros 10mm</t>
        </is>
      </c>
      <c r="E23" s="130" t="n">
        <v>10</v>
      </c>
      <c r="F23" s="127" t="n">
        <v>2</v>
      </c>
      <c r="G23" s="127" t="n">
        <v>2</v>
      </c>
      <c r="H23" s="150" t="n"/>
      <c r="I23" s="130" t="n"/>
      <c r="J23" s="130">
        <f>(E23*F23)+(F23*I23)</f>
        <v/>
      </c>
      <c r="K23" s="130" t="n">
        <v>10</v>
      </c>
      <c r="L23" s="127" t="n">
        <v>2</v>
      </c>
      <c r="M23" s="127" t="n">
        <v>2</v>
      </c>
      <c r="N23" s="150" t="n"/>
      <c r="O23" s="26">
        <f>$I23</f>
        <v/>
      </c>
      <c r="P23" s="130">
        <f>(K23*L23)+(L23*O23)</f>
        <v/>
      </c>
      <c r="Q23" s="130" t="n">
        <v>10</v>
      </c>
      <c r="R23" s="127" t="n">
        <v>2</v>
      </c>
      <c r="S23" s="127" t="n">
        <v>3</v>
      </c>
      <c r="T23" s="150" t="n"/>
      <c r="U23" s="26">
        <f>$I23</f>
        <v/>
      </c>
      <c r="V23" s="130">
        <f>(Q23*R23)+(R23*U23)</f>
        <v/>
      </c>
      <c r="W23" s="130" t="n">
        <v>10</v>
      </c>
      <c r="X23" s="127" t="n">
        <v>2</v>
      </c>
      <c r="Y23" s="127" t="n">
        <v>3</v>
      </c>
      <c r="Z23" s="150" t="n">
        <v>15</v>
      </c>
      <c r="AB23" s="130">
        <f>(W23*X23)+(X23*AA23)</f>
        <v/>
      </c>
      <c r="AC23" s="146" t="n"/>
    </row>
    <row r="24" hidden="1" ht="15.75" customHeight="1" s="296">
      <c r="C24" s="116" t="n"/>
      <c r="D24" s="137" t="inlineStr">
        <is>
          <t>Sospensioni due mani 20mm</t>
        </is>
      </c>
      <c r="E24" s="133" t="n">
        <v>6</v>
      </c>
      <c r="F24" s="151" t="n">
        <v>2</v>
      </c>
      <c r="G24" s="133" t="n">
        <v>2</v>
      </c>
      <c r="H24" s="149" t="n"/>
      <c r="I24" s="135" t="n"/>
      <c r="J24" s="135">
        <f>(E24*F24)+(F24*I24)</f>
        <v/>
      </c>
      <c r="K24" s="133" t="n">
        <v>6</v>
      </c>
      <c r="L24" s="151" t="n">
        <v>2</v>
      </c>
      <c r="M24" s="133" t="n">
        <v>2</v>
      </c>
      <c r="N24" s="149" t="n"/>
      <c r="O24" s="136">
        <f>$I24</f>
        <v/>
      </c>
      <c r="P24" s="135">
        <f>(K24*L24)+(L24*O24)</f>
        <v/>
      </c>
      <c r="Q24" s="133" t="n">
        <v>6</v>
      </c>
      <c r="R24" s="151" t="n">
        <v>2</v>
      </c>
      <c r="S24" s="133" t="n">
        <v>2</v>
      </c>
      <c r="T24" s="149" t="n"/>
      <c r="U24" s="136">
        <f>$I24</f>
        <v/>
      </c>
      <c r="V24" s="135">
        <f>(Q24*R24)+(R24*U24)</f>
        <v/>
      </c>
      <c r="W24" s="133" t="n">
        <v>6</v>
      </c>
      <c r="X24" s="151" t="n">
        <v>2</v>
      </c>
      <c r="Y24" s="133" t="n">
        <v>3</v>
      </c>
      <c r="Z24" s="149" t="n">
        <v>20</v>
      </c>
      <c r="AB24" s="130" t="n"/>
      <c r="AC24" s="146" t="n"/>
    </row>
    <row r="25" hidden="1" ht="15" customHeight="1" s="296">
      <c r="C25" s="116" t="n"/>
      <c r="D25" s="126" t="inlineStr">
        <is>
          <t>Sospensione due mani 20mm</t>
        </is>
      </c>
      <c r="E25" s="139" t="inlineStr">
        <is>
          <t>AMRAP</t>
        </is>
      </c>
      <c r="F25" s="127" t="n">
        <v>1</v>
      </c>
      <c r="G25" s="127" t="n">
        <v>1</v>
      </c>
      <c r="H25" s="140" t="n">
        <v>24</v>
      </c>
      <c r="I25" s="130" t="n"/>
      <c r="J25" s="130" t="n"/>
      <c r="K25" s="139" t="inlineStr">
        <is>
          <t>AMRAP</t>
        </is>
      </c>
      <c r="L25" s="127" t="n">
        <v>1</v>
      </c>
      <c r="M25" s="127" t="n">
        <v>1</v>
      </c>
      <c r="N25" s="140" t="n">
        <v>24</v>
      </c>
      <c r="O25" s="130" t="n"/>
      <c r="P25" s="130" t="n"/>
      <c r="Q25" s="139" t="inlineStr">
        <is>
          <t>AMRAP</t>
        </is>
      </c>
      <c r="R25" s="127" t="n">
        <v>1</v>
      </c>
      <c r="S25" s="127" t="n">
        <v>1</v>
      </c>
      <c r="T25" s="140" t="n">
        <v>24</v>
      </c>
      <c r="U25" s="130" t="n"/>
      <c r="V25" s="130" t="n"/>
      <c r="W25" s="139" t="inlineStr">
        <is>
          <t>AMRAP</t>
        </is>
      </c>
      <c r="X25" s="127" t="n">
        <v>1</v>
      </c>
      <c r="Y25" s="127" t="n">
        <v>1</v>
      </c>
      <c r="Z25" s="140" t="n">
        <v>24</v>
      </c>
      <c r="AC25" s="146" t="n"/>
    </row>
    <row r="26" hidden="1" ht="15" customHeight="1" s="296">
      <c r="C26" s="116" t="n"/>
      <c r="D26" s="141" t="inlineStr">
        <is>
          <t>Volume totale:</t>
        </is>
      </c>
      <c r="E26" s="140">
        <f t="array" ref="E26">SUMPRODUCT((E21:E24*F21:F24)*G21:G24)</f>
        <v/>
      </c>
      <c r="H26" s="302" t="n"/>
      <c r="I26" s="130" t="n"/>
      <c r="J26" s="130" t="n"/>
      <c r="K26" s="140">
        <f t="array" ref="K26">SUMPRODUCT((K21:K24*L21:L24)*M21:M24)</f>
        <v/>
      </c>
      <c r="N26" s="302" t="n"/>
      <c r="O26" s="130" t="n"/>
      <c r="P26" s="130" t="n"/>
      <c r="Q26" s="140">
        <f t="array" ref="Q26">SUMPRODUCT((Q21:Q24*R21:R24)*S21:S24)</f>
        <v/>
      </c>
      <c r="T26" s="302" t="n"/>
      <c r="U26" s="130" t="n"/>
      <c r="V26" s="130" t="n"/>
      <c r="W26" s="140">
        <f t="array" ref="W26">SUMPRODUCT((W21:W24*X21:X24)*Y21:Y24)</f>
        <v/>
      </c>
      <c r="Z26" s="302" t="n"/>
      <c r="AC26" s="146" t="n"/>
    </row>
    <row r="27" hidden="1" ht="15" customHeight="1" s="296">
      <c r="C27" s="116" t="n"/>
      <c r="D27" s="141" t="n"/>
      <c r="E27" s="144" t="n"/>
      <c r="F27" s="130" t="n"/>
      <c r="G27" s="130" t="n"/>
      <c r="H27" s="140" t="n"/>
      <c r="I27" s="130" t="n"/>
      <c r="J27" s="130" t="n"/>
      <c r="K27" s="130" t="n"/>
      <c r="L27" s="130" t="n"/>
      <c r="M27" s="130" t="n"/>
      <c r="N27" s="140" t="n"/>
      <c r="O27" s="130" t="n"/>
      <c r="P27" s="130" t="n"/>
      <c r="Q27" s="130" t="n"/>
      <c r="R27" s="130" t="n"/>
      <c r="S27" s="130" t="n"/>
      <c r="T27" s="140" t="n"/>
      <c r="U27" s="130" t="n"/>
      <c r="V27" s="130" t="n"/>
      <c r="W27" s="144" t="n"/>
      <c r="X27" s="130" t="n"/>
      <c r="Y27" s="130" t="n"/>
      <c r="Z27" s="140" t="n"/>
      <c r="AC27" s="146" t="n"/>
    </row>
    <row r="28" hidden="1" ht="15" customHeight="1" s="296">
      <c r="C28" s="116" t="n"/>
      <c r="D28" s="141" t="inlineStr">
        <is>
          <t xml:space="preserve">Recupero:  </t>
        </is>
      </c>
      <c r="E28" s="303" t="inlineStr">
        <is>
          <t xml:space="preserve"> Tra le ripetizioni 5"
											</t>
        </is>
      </c>
      <c r="H28" s="302" t="n"/>
      <c r="I28" s="147" t="n"/>
      <c r="J28" s="147" t="n"/>
      <c r="K28" s="303" t="inlineStr">
        <is>
          <t xml:space="preserve"> Tra le ripetizioni 5"
											</t>
        </is>
      </c>
      <c r="N28" s="302" t="n"/>
      <c r="O28" s="147" t="n"/>
      <c r="P28" s="147" t="n"/>
      <c r="Q28" s="303" t="inlineStr">
        <is>
          <t xml:space="preserve"> Tra le ripetizioni 5"
											</t>
        </is>
      </c>
      <c r="T28" s="302" t="n"/>
      <c r="U28" s="147" t="n"/>
      <c r="V28" s="147" t="n"/>
      <c r="W28" s="303" t="inlineStr">
        <is>
          <t xml:space="preserve"> Tra le ripetizioni 5"
											</t>
        </is>
      </c>
      <c r="Z28" s="302" t="n"/>
      <c r="AC28" s="152" t="n"/>
    </row>
    <row r="29" hidden="1" ht="15" customHeight="1" s="296">
      <c r="C29" s="116" t="n"/>
      <c r="D29" s="141" t="n"/>
      <c r="E29" s="303" t="inlineStr">
        <is>
          <t xml:space="preserve"> Tra le serie 1'45"</t>
        </is>
      </c>
      <c r="H29" s="302" t="n"/>
      <c r="I29" s="147" t="n"/>
      <c r="J29" s="147" t="n"/>
      <c r="K29" s="303" t="inlineStr">
        <is>
          <t xml:space="preserve"> Tra le serie 1'45"</t>
        </is>
      </c>
      <c r="N29" s="302" t="n"/>
      <c r="O29" s="147" t="n"/>
      <c r="P29" s="147" t="n"/>
      <c r="Q29" s="303" t="inlineStr">
        <is>
          <t xml:space="preserve"> Tra le serie 1'45"</t>
        </is>
      </c>
      <c r="T29" s="302" t="n"/>
      <c r="U29" s="147" t="n"/>
      <c r="V29" s="147" t="n"/>
      <c r="W29" s="303" t="inlineStr">
        <is>
          <t xml:space="preserve"> Tra le serie 1'45"</t>
        </is>
      </c>
      <c r="Z29" s="302" t="n"/>
      <c r="AC29" s="152" t="n"/>
    </row>
    <row r="30" hidden="1" ht="15.75" customHeight="1" s="296">
      <c r="C30" s="116" t="n"/>
      <c r="D30" s="144" t="n"/>
      <c r="E30" s="153" t="n"/>
      <c r="F30" s="153" t="n"/>
      <c r="G30" s="153" t="n"/>
      <c r="H30" s="153" t="n"/>
      <c r="I30" s="153" t="n"/>
      <c r="J30" s="153" t="n"/>
      <c r="K30" s="153" t="n"/>
      <c r="L30" s="153" t="n"/>
      <c r="M30" s="153" t="n"/>
      <c r="N30" s="153" t="n"/>
      <c r="O30" s="153" t="n"/>
      <c r="P30" s="153" t="n"/>
      <c r="Q30" s="153" t="n"/>
      <c r="R30" s="153" t="n"/>
      <c r="S30" s="153" t="n"/>
      <c r="T30" s="153" t="n"/>
      <c r="U30" s="153" t="n"/>
      <c r="V30" s="153" t="n"/>
      <c r="W30" s="153" t="n"/>
      <c r="X30" s="153" t="n"/>
      <c r="Y30" s="153" t="n"/>
      <c r="Z30" s="153" t="n"/>
      <c r="AA30" s="153" t="n"/>
      <c r="AB30" s="153" t="n"/>
      <c r="AC30" s="152" t="n"/>
    </row>
    <row r="31" hidden="1" ht="15" customHeight="1" s="296">
      <c r="C31" s="116" t="n"/>
      <c r="D31" s="154" t="inlineStr">
        <is>
          <t>Esegui le sospensioni senza arrivare mai allo sfinimento (tranne nell'AMRAP), nel caso siano facili aumenta la zavorra</t>
        </is>
      </c>
      <c r="X31" s="155" t="n"/>
      <c r="Y31" s="155" t="n"/>
      <c r="Z31" s="155" t="n"/>
      <c r="AA31" s="155" t="n"/>
      <c r="AB31" s="155" t="n"/>
      <c r="AC31" s="156" t="n"/>
    </row>
    <row r="32" hidden="1" ht="14.25" customHeight="1" s="296">
      <c r="C32" s="116" t="n"/>
      <c r="D32" s="154" t="inlineStr">
        <is>
          <t>Esegui l'AMRAP entrambi i giorni di allenamento recuperando 3' prima di farlo</t>
        </is>
      </c>
      <c r="L32" s="154" t="n"/>
      <c r="M32" s="154" t="n"/>
      <c r="N32" s="154" t="n"/>
      <c r="O32" s="154" t="n"/>
      <c r="P32" s="154" t="n"/>
      <c r="Q32" s="154" t="n"/>
      <c r="R32" s="154" t="n"/>
      <c r="S32" s="154" t="n"/>
      <c r="T32" s="154" t="n"/>
      <c r="U32" s="154" t="n"/>
      <c r="V32" s="154" t="n"/>
      <c r="W32" s="154" t="n"/>
      <c r="X32" s="155" t="n"/>
      <c r="Y32" s="155" t="n"/>
      <c r="Z32" s="155" t="n"/>
      <c r="AA32" s="155" t="n"/>
      <c r="AB32" s="155" t="n"/>
      <c r="AC32" s="156" t="n"/>
    </row>
    <row r="33" hidden="1" ht="15.75" customHeight="1" s="296">
      <c r="C33" s="157" t="n"/>
      <c r="D33" s="158" t="n"/>
      <c r="E33" s="158" t="n"/>
      <c r="F33" s="158" t="n"/>
      <c r="G33" s="158" t="n"/>
      <c r="H33" s="158" t="n"/>
      <c r="I33" s="158" t="n"/>
      <c r="J33" s="158" t="n"/>
      <c r="K33" s="158" t="n"/>
      <c r="L33" s="158" t="n"/>
      <c r="M33" s="158" t="n"/>
      <c r="N33" s="158" t="n"/>
      <c r="O33" s="158" t="n"/>
      <c r="P33" s="158" t="n"/>
      <c r="Q33" s="158" t="n"/>
      <c r="R33" s="158" t="n"/>
      <c r="S33" s="158" t="n"/>
      <c r="T33" s="158" t="n"/>
      <c r="U33" s="158" t="n"/>
      <c r="V33" s="158" t="n"/>
      <c r="W33" s="158" t="n"/>
      <c r="X33" s="158" t="n"/>
      <c r="Y33" s="305" t="n">
        <v>44952</v>
      </c>
      <c r="Z33" s="297" t="n"/>
      <c r="AA33" s="297" t="n"/>
      <c r="AB33" s="297" t="n"/>
      <c r="AC33" s="306" t="n"/>
    </row>
    <row r="34" hidden="1" ht="15.75" customHeight="1" s="296">
      <c r="C34" s="44" t="n"/>
      <c r="D34" s="105" t="n"/>
      <c r="E34" s="105" t="n"/>
      <c r="F34" s="105" t="n"/>
      <c r="G34" s="105" t="n"/>
      <c r="H34" s="105" t="n"/>
      <c r="I34" s="105" t="n"/>
      <c r="J34" s="105" t="n"/>
      <c r="K34" s="105" t="n"/>
      <c r="L34" s="105" t="n"/>
      <c r="M34" s="105" t="n"/>
      <c r="N34" s="105" t="n"/>
      <c r="O34" s="105" t="n"/>
      <c r="P34" s="105" t="n"/>
      <c r="Q34" s="105" t="n"/>
      <c r="R34" s="105" t="n"/>
      <c r="S34" s="105" t="n"/>
      <c r="T34" s="105" t="n"/>
      <c r="U34" s="105" t="n"/>
      <c r="V34" s="105" t="n"/>
      <c r="W34" s="44" t="n"/>
      <c r="X34" s="44" t="n"/>
      <c r="Y34" s="44" t="n"/>
      <c r="Z34" s="44" t="n"/>
      <c r="AA34" s="44" t="n"/>
      <c r="AB34" s="44" t="n"/>
      <c r="AC34" s="44" t="n"/>
    </row>
    <row r="35" ht="15.75" customHeight="1" s="296">
      <c r="C35" s="44" t="n"/>
      <c r="D35" s="44" t="n"/>
      <c r="E35" s="160" t="n"/>
      <c r="F35" s="160" t="n"/>
      <c r="G35" s="160" t="n"/>
      <c r="H35" s="160" t="n"/>
      <c r="I35" s="160" t="n"/>
      <c r="J35" s="160" t="n"/>
      <c r="K35" s="160" t="n"/>
      <c r="L35" s="160" t="n"/>
      <c r="M35" s="160" t="n"/>
      <c r="N35" s="160" t="n"/>
      <c r="O35" s="160" t="n"/>
      <c r="P35" s="160" t="n"/>
      <c r="Q35" s="160" t="n"/>
      <c r="R35" s="160" t="n"/>
      <c r="S35" s="160" t="n"/>
      <c r="T35" s="160" t="n"/>
      <c r="U35" s="160" t="n"/>
      <c r="V35" s="160" t="n"/>
      <c r="W35" s="44" t="n"/>
      <c r="X35" s="44" t="n"/>
      <c r="Y35" s="44" t="n"/>
      <c r="Z35" s="44" t="n"/>
      <c r="AA35" s="44" t="n"/>
      <c r="AB35" s="44" t="n"/>
      <c r="AC35" s="44" t="n"/>
    </row>
    <row r="36" ht="15" customHeight="1" s="296">
      <c r="C36" s="161" t="n"/>
      <c r="E36" s="44" t="n"/>
      <c r="F36" s="44" t="n"/>
      <c r="G36" s="44" t="n"/>
      <c r="H36" s="44" t="n"/>
      <c r="I36" s="44" t="n"/>
      <c r="J36" s="44" t="n"/>
      <c r="K36" s="44" t="n"/>
      <c r="L36" s="44" t="n"/>
      <c r="M36" s="44" t="n"/>
      <c r="N36" s="44" t="n"/>
      <c r="O36" s="44" t="n"/>
      <c r="P36" s="44" t="n"/>
      <c r="Q36" s="44" t="n"/>
      <c r="R36" s="44" t="n"/>
      <c r="S36" s="44" t="n"/>
      <c r="T36" s="44" t="n"/>
      <c r="U36" s="44" t="n"/>
      <c r="V36" s="44" t="n"/>
      <c r="W36" s="44" t="n"/>
      <c r="X36" s="44" t="n"/>
      <c r="Y36" s="44" t="n"/>
      <c r="Z36" s="44" t="n"/>
      <c r="AA36" s="44" t="n"/>
      <c r="AB36" s="44" t="n"/>
      <c r="AC36" s="44" t="n"/>
    </row>
    <row r="37" hidden="1" ht="15" customHeight="1" s="296">
      <c r="C37" s="97" t="inlineStr">
        <is>
          <t>WEEK 5-8</t>
        </is>
      </c>
      <c r="D37" s="144" t="n"/>
      <c r="E37" s="44" t="n"/>
      <c r="F37" s="44" t="n"/>
      <c r="G37" s="99" t="n"/>
      <c r="H37" s="99" t="n"/>
      <c r="I37" s="100" t="n"/>
      <c r="J37" s="100" t="n"/>
      <c r="K37" s="44" t="n"/>
      <c r="L37" s="101">
        <f>$L$3</f>
        <v/>
      </c>
      <c r="M37" s="297" t="n"/>
      <c r="N37" s="103" t="n"/>
      <c r="O37" s="103" t="n"/>
      <c r="P37" s="103" t="n"/>
      <c r="Q37" s="103" t="n"/>
      <c r="R37" s="44" t="n"/>
      <c r="S37" s="103" t="n"/>
      <c r="T37" s="103" t="n"/>
      <c r="U37" s="103" t="n"/>
      <c r="V37" s="103" t="n"/>
      <c r="W37" s="103" t="n"/>
      <c r="X37" s="103" t="n"/>
      <c r="Y37" s="103" t="n"/>
      <c r="Z37" s="103" t="n"/>
      <c r="AA37" s="103" t="n"/>
      <c r="AB37" s="103" t="n"/>
      <c r="AC37" s="104">
        <f>$AC$3</f>
        <v/>
      </c>
    </row>
    <row r="38" hidden="1" ht="40.5" customHeight="1" s="296">
      <c r="C38" s="106" t="n"/>
      <c r="D38" s="298" t="n"/>
      <c r="E38" s="298" t="n"/>
      <c r="F38" s="298" t="n"/>
      <c r="G38" s="298" t="n"/>
      <c r="H38" s="298" t="n"/>
      <c r="I38" s="298" t="n"/>
      <c r="J38" s="298" t="n"/>
      <c r="K38" s="298" t="n"/>
      <c r="L38" s="298" t="n"/>
      <c r="M38" s="298" t="n"/>
      <c r="N38" s="298" t="n"/>
      <c r="O38" s="298" t="n"/>
      <c r="P38" s="298" t="n"/>
      <c r="Q38" s="298" t="n"/>
      <c r="R38" s="298" t="n"/>
      <c r="S38" s="298" t="n"/>
      <c r="T38" s="298" t="n"/>
      <c r="U38" s="298" t="n"/>
      <c r="V38" s="298" t="n"/>
      <c r="W38" s="298" t="n"/>
      <c r="X38" s="298" t="n"/>
      <c r="Y38" s="298" t="n"/>
      <c r="Z38" s="307">
        <f>$AC$4</f>
        <v/>
      </c>
      <c r="AA38" s="298" t="n"/>
      <c r="AB38" s="298" t="n"/>
      <c r="AC38" s="300" t="n"/>
    </row>
    <row r="39" hidden="1" ht="15" customHeight="1" s="296">
      <c r="C39" s="299" t="inlineStr">
        <is>
          <t>2023_03_SOSPENSIONI</t>
        </is>
      </c>
      <c r="D39" s="298" t="n"/>
      <c r="E39" s="298" t="n"/>
      <c r="F39" s="298" t="n"/>
      <c r="G39" s="298" t="n"/>
      <c r="H39" s="298" t="n"/>
      <c r="I39" s="298" t="n"/>
      <c r="J39" s="298" t="n"/>
      <c r="K39" s="298" t="n"/>
      <c r="L39" s="298" t="n"/>
      <c r="M39" s="298" t="n"/>
      <c r="N39" s="298" t="n"/>
      <c r="O39" s="298" t="n"/>
      <c r="P39" s="298" t="n"/>
      <c r="Q39" s="298" t="n"/>
      <c r="R39" s="298" t="n"/>
      <c r="S39" s="298" t="n"/>
      <c r="T39" s="298" t="n"/>
      <c r="U39" s="298" t="n"/>
      <c r="V39" s="298" t="n"/>
      <c r="W39" s="298" t="n"/>
      <c r="X39" s="298" t="n"/>
      <c r="Y39" s="298" t="n"/>
      <c r="Z39" s="298" t="n"/>
      <c r="AA39" s="298" t="n"/>
      <c r="AB39" s="298" t="n"/>
      <c r="AC39" s="300" t="n"/>
    </row>
    <row r="40" hidden="1" ht="15.75" customHeight="1" s="296">
      <c r="C40" s="113" t="n"/>
      <c r="D40" s="114" t="n"/>
      <c r="E40" s="114" t="n"/>
      <c r="F40" s="114" t="n"/>
      <c r="G40" s="114" t="n"/>
      <c r="H40" s="114" t="n"/>
      <c r="I40" s="114" t="n"/>
      <c r="J40" s="114" t="n"/>
      <c r="K40" s="114" t="n"/>
      <c r="L40" s="114" t="n"/>
      <c r="M40" s="114" t="n"/>
      <c r="N40" s="114" t="n"/>
      <c r="O40" s="114" t="n"/>
      <c r="P40" s="114" t="n"/>
      <c r="Q40" s="114" t="n"/>
      <c r="R40" s="114" t="n"/>
      <c r="S40" s="114" t="n"/>
      <c r="T40" s="114" t="n"/>
      <c r="U40" s="114" t="n"/>
      <c r="V40" s="114" t="n"/>
      <c r="W40" s="114" t="n"/>
      <c r="X40" s="114" t="n"/>
      <c r="Y40" s="114" t="n"/>
      <c r="Z40" s="114" t="n"/>
      <c r="AA40" s="114" t="n"/>
      <c r="AB40" s="114" t="n"/>
      <c r="AC40" s="115" t="n"/>
    </row>
    <row r="41" hidden="1" ht="15.75" customHeight="1" s="296">
      <c r="C41" s="116" t="n"/>
      <c r="D41" s="144" t="inlineStr">
        <is>
          <t>FORZA</t>
        </is>
      </c>
      <c r="E41" s="118" t="inlineStr">
        <is>
          <t>Wk 5</t>
        </is>
      </c>
      <c r="H41" s="301" t="n"/>
      <c r="I41" s="118" t="n"/>
      <c r="J41" s="118" t="n"/>
      <c r="K41" s="118" t="inlineStr">
        <is>
          <t>Wk 6</t>
        </is>
      </c>
      <c r="N41" s="301" t="n"/>
      <c r="O41" s="118" t="n"/>
      <c r="P41" s="118" t="n"/>
      <c r="Q41" s="118" t="inlineStr">
        <is>
          <t>Wk 7</t>
        </is>
      </c>
      <c r="T41" s="301" t="n"/>
      <c r="U41" s="118" t="n"/>
      <c r="V41" s="118" t="n"/>
      <c r="W41" s="118" t="inlineStr">
        <is>
          <t>Wk 8</t>
        </is>
      </c>
      <c r="Z41" s="301" t="n"/>
      <c r="AA41" s="144" t="n"/>
      <c r="AB41" s="144" t="n"/>
      <c r="AC41" s="143" t="n"/>
    </row>
    <row r="42" hidden="1" ht="15.75" customHeight="1" s="296">
      <c r="C42" s="116" t="n"/>
      <c r="D42" s="121" t="inlineStr">
        <is>
          <t>Esercizio</t>
        </is>
      </c>
      <c r="E42" s="122" t="inlineStr">
        <is>
          <t>TEMPO</t>
        </is>
      </c>
      <c r="F42" s="123" t="inlineStr">
        <is>
          <t>REP</t>
        </is>
      </c>
      <c r="G42" s="122" t="inlineStr">
        <is>
          <t>SET</t>
        </is>
      </c>
      <c r="H42" s="124" t="inlineStr">
        <is>
          <t>CARICO</t>
        </is>
      </c>
      <c r="I42" s="125" t="inlineStr">
        <is>
          <t>Rest</t>
        </is>
      </c>
      <c r="J42" s="125" t="inlineStr">
        <is>
          <t>TUT es</t>
        </is>
      </c>
      <c r="K42" s="122" t="inlineStr">
        <is>
          <t>TEMPO</t>
        </is>
      </c>
      <c r="L42" s="123" t="inlineStr">
        <is>
          <t>REP</t>
        </is>
      </c>
      <c r="M42" s="122" t="inlineStr">
        <is>
          <t>SET</t>
        </is>
      </c>
      <c r="N42" s="124" t="inlineStr">
        <is>
          <t>CARICO</t>
        </is>
      </c>
      <c r="O42" s="125" t="inlineStr">
        <is>
          <t>Rest</t>
        </is>
      </c>
      <c r="P42" s="125" t="inlineStr">
        <is>
          <t>TUT es</t>
        </is>
      </c>
      <c r="Q42" s="122" t="inlineStr">
        <is>
          <t>TEMPO</t>
        </is>
      </c>
      <c r="R42" s="123" t="inlineStr">
        <is>
          <t>REP</t>
        </is>
      </c>
      <c r="S42" s="122" t="inlineStr">
        <is>
          <t>SET</t>
        </is>
      </c>
      <c r="T42" s="124" t="inlineStr">
        <is>
          <t>CARICO</t>
        </is>
      </c>
      <c r="U42" s="125" t="inlineStr">
        <is>
          <t>Rest</t>
        </is>
      </c>
      <c r="V42" s="125" t="inlineStr">
        <is>
          <t>TUT es</t>
        </is>
      </c>
      <c r="W42" s="122" t="inlineStr">
        <is>
          <t>TEMPO</t>
        </is>
      </c>
      <c r="X42" s="123" t="inlineStr">
        <is>
          <t>REP</t>
        </is>
      </c>
      <c r="Y42" s="122" t="inlineStr">
        <is>
          <t>SET</t>
        </is>
      </c>
      <c r="Z42" s="124" t="inlineStr">
        <is>
          <t>CARICO</t>
        </is>
      </c>
      <c r="AA42" s="125" t="inlineStr">
        <is>
          <t>Rest</t>
        </is>
      </c>
      <c r="AB42" s="125" t="inlineStr">
        <is>
          <t>TUT es</t>
        </is>
      </c>
      <c r="AC42" s="120" t="n"/>
      <c r="AE42" s="163" t="inlineStr">
        <is>
          <t>Carico</t>
        </is>
      </c>
      <c r="AF42" s="163" t="inlineStr">
        <is>
          <t>RPE</t>
        </is>
      </c>
      <c r="AG42" s="163" t="n"/>
      <c r="AH42" s="163" t="inlineStr">
        <is>
          <t>Carico</t>
        </is>
      </c>
      <c r="AI42" s="163" t="inlineStr">
        <is>
          <t>RPE</t>
        </is>
      </c>
      <c r="AJ42" s="163" t="n"/>
      <c r="AK42" s="163" t="inlineStr">
        <is>
          <t>Carico</t>
        </is>
      </c>
      <c r="AL42" s="163" t="inlineStr">
        <is>
          <t>RPE</t>
        </is>
      </c>
      <c r="AM42" s="163" t="n"/>
      <c r="AN42" s="163" t="inlineStr">
        <is>
          <t>Carico</t>
        </is>
      </c>
      <c r="AO42" s="163" t="inlineStr">
        <is>
          <t>RPE</t>
        </is>
      </c>
      <c r="AP42" s="163" t="n"/>
      <c r="AQ42" s="163" t="inlineStr">
        <is>
          <t>Carico</t>
        </is>
      </c>
      <c r="AR42" s="163" t="inlineStr">
        <is>
          <t>RPE</t>
        </is>
      </c>
      <c r="AS42" s="163" t="n"/>
      <c r="AT42" s="163" t="inlineStr">
        <is>
          <t>Carico</t>
        </is>
      </c>
      <c r="AU42" s="163" t="inlineStr">
        <is>
          <t>RPE</t>
        </is>
      </c>
    </row>
    <row r="43" hidden="1" ht="15.75" customHeight="1" s="296">
      <c r="C43" s="116" t="n"/>
      <c r="D43" s="126" t="inlineStr">
        <is>
          <t>Sospensioni due mani dita stese 20mm</t>
        </is>
      </c>
      <c r="E43" s="127" t="n">
        <v>7</v>
      </c>
      <c r="F43" s="128" t="n">
        <v>2</v>
      </c>
      <c r="G43" s="127" t="n">
        <v>3</v>
      </c>
      <c r="H43" s="129" t="n"/>
      <c r="I43" s="130" t="n"/>
      <c r="J43" s="130">
        <f>(E43*F43)+(F43*I43)</f>
        <v/>
      </c>
      <c r="K43" s="127" t="n">
        <v>7</v>
      </c>
      <c r="L43" s="128" t="n">
        <v>2</v>
      </c>
      <c r="M43" s="127" t="n">
        <v>4</v>
      </c>
      <c r="N43" s="129" t="n"/>
      <c r="O43" s="131">
        <f>$I43</f>
        <v/>
      </c>
      <c r="P43" s="130">
        <f>(K43*L43)+(L43*O43)</f>
        <v/>
      </c>
      <c r="Q43" s="127" t="n">
        <v>7</v>
      </c>
      <c r="R43" s="128" t="n">
        <v>2</v>
      </c>
      <c r="S43" s="127" t="n">
        <v>4</v>
      </c>
      <c r="T43" s="129" t="n"/>
      <c r="U43" s="131">
        <f>$I43</f>
        <v/>
      </c>
      <c r="V43" s="130">
        <f>(Q43*R43)+(R43*U43)</f>
        <v/>
      </c>
      <c r="W43" s="127" t="n">
        <v>7</v>
      </c>
      <c r="X43" s="128" t="n">
        <v>3</v>
      </c>
      <c r="Y43" s="127" t="n">
        <v>3</v>
      </c>
      <c r="Z43" s="129" t="n"/>
      <c r="AA43" s="131">
        <f>$I43</f>
        <v/>
      </c>
      <c r="AB43" s="130">
        <f>(W43*X43)+(X43*AA43)</f>
        <v/>
      </c>
      <c r="AC43" s="120" t="n"/>
      <c r="AD43" s="97" t="n"/>
      <c r="AE43" s="131" t="inlineStr">
        <is>
          <t xml:space="preserve">20kg     </t>
        </is>
      </c>
      <c r="AF43" s="97" t="n">
        <v>4</v>
      </c>
      <c r="AG43" s="97" t="n"/>
      <c r="AH43" s="131" t="inlineStr">
        <is>
          <t xml:space="preserve">20kg     </t>
        </is>
      </c>
      <c r="AI43" s="131" t="n">
        <v>5</v>
      </c>
      <c r="AK43" s="131" t="inlineStr">
        <is>
          <t xml:space="preserve">20kg     </t>
        </is>
      </c>
      <c r="AL43" s="131" t="inlineStr">
        <is>
          <t>non segnato</t>
        </is>
      </c>
      <c r="AN43" s="131" t="inlineStr">
        <is>
          <t xml:space="preserve">20kg     </t>
        </is>
      </c>
      <c r="AO43" s="131" t="inlineStr">
        <is>
          <t>non segnato</t>
        </is>
      </c>
      <c r="AQ43" s="131" t="inlineStr">
        <is>
          <t xml:space="preserve">20kg     </t>
        </is>
      </c>
      <c r="AR43" s="131" t="inlineStr">
        <is>
          <t>non segnato</t>
        </is>
      </c>
      <c r="AT43" s="131" t="inlineStr">
        <is>
          <t xml:space="preserve">20kg     </t>
        </is>
      </c>
      <c r="AU43" s="131" t="inlineStr">
        <is>
          <t>non segnato</t>
        </is>
      </c>
    </row>
    <row r="44" hidden="1" ht="30" customHeight="1" s="296">
      <c r="C44" s="116" t="n"/>
      <c r="D44" s="132" t="inlineStr">
        <is>
          <t>Sospensioni bidito (alterna anulare e indice, ripetizioni per coppia di dita)</t>
        </is>
      </c>
      <c r="E44" s="133" t="n">
        <v>6</v>
      </c>
      <c r="F44" s="133" t="n">
        <v>2</v>
      </c>
      <c r="G44" s="133" t="n">
        <v>3</v>
      </c>
      <c r="H44" s="134" t="inlineStr">
        <is>
          <t>Scarico violento</t>
        </is>
      </c>
      <c r="I44" s="135" t="n"/>
      <c r="J44" s="135">
        <f>(E44*F44)+(F44*I44)</f>
        <v/>
      </c>
      <c r="K44" s="133" t="n">
        <v>6</v>
      </c>
      <c r="L44" s="133" t="n">
        <v>2</v>
      </c>
      <c r="M44" s="133" t="n">
        <v>3</v>
      </c>
      <c r="N44" s="134" t="inlineStr">
        <is>
          <t>Scarico violento</t>
        </is>
      </c>
      <c r="O44" s="136">
        <f>$I44</f>
        <v/>
      </c>
      <c r="P44" s="135">
        <f>(K44*L44)+(L44*O44)</f>
        <v/>
      </c>
      <c r="Q44" s="133" t="n">
        <v>6</v>
      </c>
      <c r="R44" s="133" t="n">
        <v>2</v>
      </c>
      <c r="S44" s="133" t="n">
        <v>3</v>
      </c>
      <c r="T44" s="134" t="inlineStr">
        <is>
          <t>Scarico violento</t>
        </is>
      </c>
      <c r="U44" s="136">
        <f>$I44</f>
        <v/>
      </c>
      <c r="V44" s="135">
        <f>(Q44*R44)+(R44*U44)</f>
        <v/>
      </c>
      <c r="W44" s="133" t="n">
        <v>6</v>
      </c>
      <c r="X44" s="133" t="n">
        <v>2</v>
      </c>
      <c r="Y44" s="133" t="n">
        <v>3</v>
      </c>
      <c r="Z44" s="134" t="inlineStr">
        <is>
          <t>Scarico violento</t>
        </is>
      </c>
      <c r="AA44" s="136">
        <f>$I44</f>
        <v/>
      </c>
      <c r="AB44" s="135">
        <f>(W44*X44)+(X44*AA44)</f>
        <v/>
      </c>
      <c r="AC44" s="120" t="n"/>
      <c r="AD44" s="89" t="n"/>
      <c r="AE44" s="89" t="inlineStr">
        <is>
          <t>scaricare</t>
        </is>
      </c>
      <c r="AF44" s="131" t="n">
        <v>5</v>
      </c>
      <c r="AH44" s="131" t="inlineStr">
        <is>
          <t>scaricare</t>
        </is>
      </c>
      <c r="AI44" s="131" t="n">
        <v>5</v>
      </c>
      <c r="AK44" s="131" t="inlineStr">
        <is>
          <t>scaricare</t>
        </is>
      </c>
      <c r="AL44" s="131" t="inlineStr">
        <is>
          <t>non segnato</t>
        </is>
      </c>
      <c r="AN44" s="131" t="inlineStr">
        <is>
          <t>scaricare</t>
        </is>
      </c>
      <c r="AO44" s="131" t="inlineStr">
        <is>
          <t>non segnato</t>
        </is>
      </c>
      <c r="AQ44" s="131" t="inlineStr">
        <is>
          <t>scaricare</t>
        </is>
      </c>
      <c r="AR44" s="131" t="inlineStr">
        <is>
          <t>non segnato</t>
        </is>
      </c>
      <c r="AT44" s="131" t="inlineStr">
        <is>
          <t>scaricare</t>
        </is>
      </c>
      <c r="AU44" s="131" t="inlineStr">
        <is>
          <t>non segnato</t>
        </is>
      </c>
    </row>
    <row r="45" hidden="1" ht="15.75" customHeight="1" s="296">
      <c r="C45" s="116" t="n"/>
      <c r="D45" s="126" t="inlineStr">
        <is>
          <t>No hang pulls semiarcuate 20mm</t>
        </is>
      </c>
      <c r="E45" s="130" t="n">
        <v>4</v>
      </c>
      <c r="F45" s="127" t="n">
        <v>3</v>
      </c>
      <c r="G45" s="127" t="n">
        <v>3</v>
      </c>
      <c r="H45" s="129" t="n"/>
      <c r="I45" s="130" t="n"/>
      <c r="J45" s="130">
        <f>(E45*F45)+(F45*I45)</f>
        <v/>
      </c>
      <c r="K45" s="130" t="n">
        <v>4</v>
      </c>
      <c r="L45" s="127" t="n">
        <v>3</v>
      </c>
      <c r="M45" s="127" t="n">
        <v>4</v>
      </c>
      <c r="N45" s="129" t="n"/>
      <c r="O45" s="131">
        <f>$I45</f>
        <v/>
      </c>
      <c r="P45" s="130">
        <f>(K45*L45)+(L45*O45)</f>
        <v/>
      </c>
      <c r="Q45" s="130" t="n">
        <v>4</v>
      </c>
      <c r="R45" s="127" t="n">
        <v>3</v>
      </c>
      <c r="S45" s="127" t="n">
        <v>4</v>
      </c>
      <c r="T45" s="129" t="n"/>
      <c r="U45" s="131">
        <f>$I45</f>
        <v/>
      </c>
      <c r="V45" s="130">
        <f>(Q45*R45)+(R45*U45)</f>
        <v/>
      </c>
      <c r="W45" s="130" t="n">
        <v>4</v>
      </c>
      <c r="X45" s="127" t="n">
        <v>3</v>
      </c>
      <c r="Y45" s="127" t="n">
        <v>4</v>
      </c>
      <c r="Z45" s="129" t="n"/>
      <c r="AA45" s="131">
        <f>$I45</f>
        <v/>
      </c>
      <c r="AB45" s="130">
        <f>(W45*X45)+(X45*AA45)</f>
        <v/>
      </c>
      <c r="AC45" s="120" t="n"/>
      <c r="AE45" s="131" t="inlineStr">
        <is>
          <t xml:space="preserve">         </t>
        </is>
      </c>
      <c r="AF45" s="131" t="n">
        <v>3</v>
      </c>
      <c r="AH45" s="131" t="inlineStr">
        <is>
          <t xml:space="preserve">         </t>
        </is>
      </c>
      <c r="AI45" s="131" t="n">
        <v>4</v>
      </c>
      <c r="AK45" s="131" t="inlineStr">
        <is>
          <t xml:space="preserve">         </t>
        </is>
      </c>
      <c r="AL45" s="131" t="inlineStr">
        <is>
          <t>non segnato</t>
        </is>
      </c>
      <c r="AN45" s="131" t="inlineStr">
        <is>
          <t xml:space="preserve">         </t>
        </is>
      </c>
      <c r="AO45" s="131" t="inlineStr">
        <is>
          <t>non segnato</t>
        </is>
      </c>
      <c r="AQ45" s="131" t="inlineStr">
        <is>
          <t xml:space="preserve">         </t>
        </is>
      </c>
      <c r="AR45" s="131" t="inlineStr">
        <is>
          <t>non segnato</t>
        </is>
      </c>
      <c r="AT45" s="131" t="inlineStr">
        <is>
          <t xml:space="preserve">         </t>
        </is>
      </c>
      <c r="AU45" s="131" t="inlineStr">
        <is>
          <t>non segnato</t>
        </is>
      </c>
    </row>
    <row r="46" hidden="1" ht="15.75" customHeight="1" s="296">
      <c r="C46" s="116" t="n"/>
      <c r="D46" s="137" t="inlineStr">
        <is>
          <t>Sospensione pinze</t>
        </is>
      </c>
      <c r="E46" s="133" t="n">
        <v>6</v>
      </c>
      <c r="F46" s="133" t="n">
        <v>2</v>
      </c>
      <c r="G46" s="133" t="n">
        <v>4</v>
      </c>
      <c r="H46" s="138" t="n"/>
      <c r="I46" s="135" t="n"/>
      <c r="J46" s="135" t="n"/>
      <c r="K46" s="133" t="n">
        <v>6</v>
      </c>
      <c r="L46" s="133" t="n">
        <v>2</v>
      </c>
      <c r="M46" s="133" t="n">
        <v>4</v>
      </c>
      <c r="N46" s="138" t="n"/>
      <c r="O46" s="135" t="n"/>
      <c r="P46" s="135" t="n"/>
      <c r="Q46" s="133" t="n">
        <v>6</v>
      </c>
      <c r="R46" s="133" t="n">
        <v>3</v>
      </c>
      <c r="S46" s="133" t="n">
        <v>3</v>
      </c>
      <c r="T46" s="138" t="n"/>
      <c r="U46" s="135" t="n"/>
      <c r="V46" s="135" t="n"/>
      <c r="W46" s="133" t="n">
        <v>6</v>
      </c>
      <c r="X46" s="133" t="n">
        <v>3</v>
      </c>
      <c r="Y46" s="133" t="n">
        <v>4</v>
      </c>
      <c r="Z46" s="138" t="n"/>
      <c r="AA46" s="135" t="n"/>
      <c r="AB46" s="135" t="n"/>
      <c r="AC46" s="120" t="n"/>
      <c r="AE46" s="131" t="inlineStr">
        <is>
          <t xml:space="preserve">20kg     </t>
        </is>
      </c>
      <c r="AF46" s="131" t="n">
        <v>4</v>
      </c>
      <c r="AH46" s="131" t="inlineStr">
        <is>
          <t xml:space="preserve">20kg     </t>
        </is>
      </c>
      <c r="AI46" s="131" t="n">
        <v>6</v>
      </c>
      <c r="AK46" s="131" t="inlineStr">
        <is>
          <t xml:space="preserve">20kg     </t>
        </is>
      </c>
      <c r="AL46" s="131" t="inlineStr">
        <is>
          <t>non segnato</t>
        </is>
      </c>
      <c r="AN46" s="131" t="inlineStr">
        <is>
          <t xml:space="preserve">20kg     </t>
        </is>
      </c>
      <c r="AO46" s="131" t="inlineStr">
        <is>
          <t>non segnato</t>
        </is>
      </c>
      <c r="AQ46" s="131" t="inlineStr">
        <is>
          <t xml:space="preserve">20kg     </t>
        </is>
      </c>
      <c r="AR46" s="131" t="inlineStr">
        <is>
          <t>non segnato</t>
        </is>
      </c>
      <c r="AT46" s="131" t="inlineStr">
        <is>
          <t xml:space="preserve">20kg     </t>
        </is>
      </c>
      <c r="AU46" s="131" t="inlineStr">
        <is>
          <t>non segnato</t>
        </is>
      </c>
    </row>
    <row r="47" hidden="1" ht="15.75" customHeight="1" s="296">
      <c r="C47" s="116" t="n"/>
      <c r="D47" s="126" t="inlineStr">
        <is>
          <t>Sospensione due mani 20mm</t>
        </is>
      </c>
      <c r="E47" s="139" t="inlineStr">
        <is>
          <t>AMRAP</t>
        </is>
      </c>
      <c r="F47" s="127" t="n">
        <v>1</v>
      </c>
      <c r="G47" s="127" t="n">
        <v>1</v>
      </c>
      <c r="H47" s="140" t="n">
        <v>25</v>
      </c>
      <c r="I47" s="130" t="n"/>
      <c r="J47" s="130" t="n"/>
      <c r="K47" s="139" t="inlineStr">
        <is>
          <t>AMRAP</t>
        </is>
      </c>
      <c r="L47" s="127" t="n">
        <v>1</v>
      </c>
      <c r="M47" s="127" t="n">
        <v>1</v>
      </c>
      <c r="N47" s="140" t="n">
        <v>25</v>
      </c>
      <c r="O47" s="130" t="n"/>
      <c r="P47" s="130" t="n"/>
      <c r="Q47" s="139" t="inlineStr">
        <is>
          <t>AMRAP</t>
        </is>
      </c>
      <c r="R47" s="127" t="n">
        <v>1</v>
      </c>
      <c r="S47" s="127" t="n">
        <v>1</v>
      </c>
      <c r="T47" s="140" t="n">
        <v>25</v>
      </c>
      <c r="U47" s="130" t="n"/>
      <c r="V47" s="130" t="n"/>
      <c r="W47" s="139" t="inlineStr">
        <is>
          <t>AMRAP</t>
        </is>
      </c>
      <c r="X47" s="127" t="n">
        <v>1</v>
      </c>
      <c r="Y47" s="127" t="n">
        <v>1</v>
      </c>
      <c r="Z47" s="140" t="n">
        <v>25</v>
      </c>
      <c r="AA47" s="130" t="n"/>
      <c r="AB47" s="130" t="n"/>
      <c r="AC47" s="120" t="n"/>
      <c r="AE47" s="131" t="inlineStr">
        <is>
          <t xml:space="preserve">11''     </t>
        </is>
      </c>
      <c r="AF47" s="131" t="n">
        <v>6</v>
      </c>
      <c r="AH47" s="131" t="inlineStr">
        <is>
          <t xml:space="preserve">13''     </t>
        </is>
      </c>
      <c r="AI47" s="131" t="n">
        <v>7</v>
      </c>
      <c r="AK47" s="131" t="inlineStr">
        <is>
          <t xml:space="preserve">13''     </t>
        </is>
      </c>
      <c r="AL47" s="131" t="inlineStr">
        <is>
          <t>non segnato</t>
        </is>
      </c>
      <c r="AN47" s="131" t="inlineStr">
        <is>
          <t xml:space="preserve">17''     </t>
        </is>
      </c>
      <c r="AO47" s="131" t="inlineStr">
        <is>
          <t>non segnato</t>
        </is>
      </c>
      <c r="AQ47" s="131" t="inlineStr">
        <is>
          <t xml:space="preserve">4''     </t>
        </is>
      </c>
      <c r="AR47" s="131" t="inlineStr">
        <is>
          <t>non segnato</t>
        </is>
      </c>
      <c r="AT47" s="131" t="inlineStr">
        <is>
          <t xml:space="preserve">12''     </t>
        </is>
      </c>
      <c r="AU47" s="131" t="inlineStr">
        <is>
          <t>non segnato</t>
        </is>
      </c>
    </row>
    <row r="48" hidden="1" ht="15" customHeight="1" s="296">
      <c r="C48" s="116" t="n"/>
      <c r="D48" s="141" t="inlineStr">
        <is>
          <t>Volume totale:</t>
        </is>
      </c>
      <c r="E48" s="140">
        <f>SUMPRODUCT((E43:E46*F43:F46)*G43:G46)</f>
        <v/>
      </c>
      <c r="H48" s="302" t="n"/>
      <c r="I48" s="130" t="n"/>
      <c r="J48" s="130" t="n"/>
      <c r="K48" s="140">
        <f>SUMPRODUCT((K43:K46*L43:L46)*M43:M46)</f>
        <v/>
      </c>
      <c r="N48" s="302" t="n"/>
      <c r="O48" s="130" t="n"/>
      <c r="P48" s="130" t="n"/>
      <c r="Q48" s="140">
        <f>SUMPRODUCT((Q43:Q46*R43:R46)*S43:S46)</f>
        <v/>
      </c>
      <c r="T48" s="302" t="n"/>
      <c r="U48" s="130" t="n"/>
      <c r="V48" s="130" t="n"/>
      <c r="W48" s="140">
        <f>SUMPRODUCT((W43:W46*X43:X46)*Y43:Y46)</f>
        <v/>
      </c>
      <c r="Z48" s="302" t="n"/>
      <c r="AA48" s="130" t="n"/>
      <c r="AB48" s="130" t="n"/>
      <c r="AC48" s="143" t="n"/>
    </row>
    <row r="49" hidden="1" ht="15" customHeight="1" s="296">
      <c r="C49" s="116" t="n"/>
      <c r="D49" s="141" t="n"/>
      <c r="E49" s="144" t="n"/>
      <c r="F49" s="130" t="n"/>
      <c r="G49" s="130" t="n"/>
      <c r="H49" s="140" t="n"/>
      <c r="I49" s="130" t="n"/>
      <c r="J49" s="130" t="n"/>
      <c r="K49" s="130" t="n"/>
      <c r="L49" s="130" t="n"/>
      <c r="M49" s="130" t="n"/>
      <c r="N49" s="140" t="n"/>
      <c r="O49" s="130" t="n"/>
      <c r="P49" s="130" t="n"/>
      <c r="Q49" s="130" t="n"/>
      <c r="R49" s="130" t="n"/>
      <c r="S49" s="130" t="n"/>
      <c r="T49" s="140" t="n"/>
      <c r="U49" s="130" t="n"/>
      <c r="V49" s="130" t="n"/>
      <c r="W49" s="144" t="n"/>
      <c r="X49" s="130" t="n"/>
      <c r="Y49" s="130" t="n"/>
      <c r="Z49" s="140" t="n"/>
      <c r="AA49" s="145" t="n"/>
      <c r="AB49" s="145" t="n"/>
      <c r="AC49" s="146" t="n"/>
    </row>
    <row r="50" hidden="1" ht="15" customHeight="1" s="296">
      <c r="C50" s="116" t="n"/>
      <c r="D50" s="141" t="inlineStr">
        <is>
          <t xml:space="preserve">Recupero:  </t>
        </is>
      </c>
      <c r="E50" s="303" t="inlineStr">
        <is>
          <t xml:space="preserve"> Tra le ripetizioni 12"
											</t>
        </is>
      </c>
      <c r="H50" s="302" t="n"/>
      <c r="I50" s="147" t="n"/>
      <c r="J50" s="147" t="n"/>
      <c r="K50" s="303" t="inlineStr">
        <is>
          <t xml:space="preserve"> Tra le ripetizioni 12"
											</t>
        </is>
      </c>
      <c r="N50" s="302" t="n"/>
      <c r="O50" s="147" t="n"/>
      <c r="P50" s="147" t="n"/>
      <c r="Q50" s="303" t="inlineStr">
        <is>
          <t xml:space="preserve"> Tra le ripetizioni 12"
											</t>
        </is>
      </c>
      <c r="T50" s="302" t="n"/>
      <c r="U50" s="147" t="n"/>
      <c r="V50" s="147" t="n"/>
      <c r="W50" s="303" t="inlineStr">
        <is>
          <t xml:space="preserve"> Tra le ripetizioni 12"
											</t>
        </is>
      </c>
      <c r="Z50" s="302" t="n"/>
      <c r="AA50" s="147" t="n"/>
      <c r="AB50" s="147" t="n"/>
      <c r="AC50" s="146" t="n"/>
    </row>
    <row r="51" hidden="1" ht="15" customHeight="1" s="296">
      <c r="C51" s="116" t="n"/>
      <c r="D51" s="141" t="n"/>
      <c r="E51" s="303" t="inlineStr">
        <is>
          <t xml:space="preserve"> Tra le serie 2'+</t>
        </is>
      </c>
      <c r="H51" s="302" t="n"/>
      <c r="I51" s="147" t="n"/>
      <c r="J51" s="147" t="n"/>
      <c r="K51" s="303" t="inlineStr">
        <is>
          <t xml:space="preserve"> Tra le serie 2'+</t>
        </is>
      </c>
      <c r="N51" s="302" t="n"/>
      <c r="O51" s="147" t="n"/>
      <c r="P51" s="147" t="n"/>
      <c r="Q51" s="303" t="inlineStr">
        <is>
          <t xml:space="preserve"> Tra le serie 2'+</t>
        </is>
      </c>
      <c r="T51" s="302" t="n"/>
      <c r="U51" s="147" t="n"/>
      <c r="V51" s="147" t="n"/>
      <c r="W51" s="303" t="inlineStr">
        <is>
          <t xml:space="preserve"> Tra le serie 2'+</t>
        </is>
      </c>
      <c r="Z51" s="302" t="n"/>
      <c r="AA51" s="147" t="n"/>
      <c r="AB51" s="147" t="n"/>
      <c r="AC51" s="146" t="n"/>
    </row>
    <row r="52" hidden="1" ht="15.75" customHeight="1" s="296">
      <c r="C52" s="116" t="n"/>
      <c r="D52" s="141" t="n"/>
      <c r="E52" s="147" t="n"/>
      <c r="F52" s="147" t="n"/>
      <c r="G52" s="147" t="n"/>
      <c r="H52" s="147" t="n"/>
      <c r="I52" s="147" t="n"/>
      <c r="J52" s="147" t="n"/>
      <c r="K52" s="147" t="n"/>
      <c r="L52" s="147" t="n"/>
      <c r="M52" s="147" t="n"/>
      <c r="N52" s="147" t="n"/>
      <c r="O52" s="147" t="n"/>
      <c r="P52" s="147" t="n"/>
      <c r="Q52" s="147" t="n"/>
      <c r="R52" s="147" t="n"/>
      <c r="S52" s="147" t="n"/>
      <c r="T52" s="147" t="n"/>
      <c r="U52" s="147" t="n"/>
      <c r="V52" s="147" t="n"/>
      <c r="W52" s="147" t="n"/>
      <c r="X52" s="147" t="n"/>
      <c r="Y52" s="147" t="n"/>
      <c r="Z52" s="147" t="n"/>
      <c r="AA52" s="147" t="n"/>
      <c r="AB52" s="147" t="n"/>
      <c r="AC52" s="146" t="n"/>
    </row>
    <row r="53" hidden="1" ht="15.75" customHeight="1" s="296">
      <c r="C53" s="116" t="n"/>
      <c r="D53" s="97" t="inlineStr">
        <is>
          <t>FORZA 2 - RFD e Specificità</t>
        </is>
      </c>
      <c r="E53" s="118" t="inlineStr">
        <is>
          <t>Wk 5</t>
        </is>
      </c>
      <c r="H53" s="301" t="n"/>
      <c r="I53" s="118" t="n"/>
      <c r="J53" s="118" t="n"/>
      <c r="K53" s="118" t="inlineStr">
        <is>
          <t>Wk 6</t>
        </is>
      </c>
      <c r="N53" s="301" t="n"/>
      <c r="O53" s="118" t="n"/>
      <c r="P53" s="118" t="n"/>
      <c r="Q53" s="118" t="inlineStr">
        <is>
          <t>Wk 7</t>
        </is>
      </c>
      <c r="T53" s="301" t="n"/>
      <c r="U53" s="118" t="n"/>
      <c r="V53" s="118" t="n"/>
      <c r="W53" s="118" t="inlineStr">
        <is>
          <t>Wk 8</t>
        </is>
      </c>
      <c r="Z53" s="301" t="n"/>
      <c r="AA53" s="119" t="n"/>
      <c r="AB53" s="119" t="n"/>
      <c r="AC53" s="146" t="n"/>
      <c r="AE53" s="163" t="n"/>
      <c r="AG53" s="163" t="n"/>
    </row>
    <row r="54" hidden="1" ht="15.75" customHeight="1" s="296">
      <c r="C54" s="116" t="n"/>
      <c r="D54" s="121" t="inlineStr">
        <is>
          <t>Esercizio</t>
        </is>
      </c>
      <c r="E54" s="122" t="inlineStr">
        <is>
          <t>TEMPO</t>
        </is>
      </c>
      <c r="F54" s="123" t="inlineStr">
        <is>
          <t>REP</t>
        </is>
      </c>
      <c r="G54" s="122" t="inlineStr">
        <is>
          <t>SET</t>
        </is>
      </c>
      <c r="H54" s="124" t="inlineStr">
        <is>
          <t>CARICO</t>
        </is>
      </c>
      <c r="I54" s="125" t="inlineStr">
        <is>
          <t>Rest</t>
        </is>
      </c>
      <c r="J54" s="125" t="inlineStr">
        <is>
          <t>TUT es</t>
        </is>
      </c>
      <c r="K54" s="122" t="inlineStr">
        <is>
          <t>TEMPO</t>
        </is>
      </c>
      <c r="L54" s="123" t="inlineStr">
        <is>
          <t>REP</t>
        </is>
      </c>
      <c r="M54" s="122" t="inlineStr">
        <is>
          <t>SET</t>
        </is>
      </c>
      <c r="N54" s="124" t="inlineStr">
        <is>
          <t>CARICO</t>
        </is>
      </c>
      <c r="O54" s="125" t="inlineStr">
        <is>
          <t>Rest</t>
        </is>
      </c>
      <c r="P54" s="125" t="inlineStr">
        <is>
          <t>TUT es</t>
        </is>
      </c>
      <c r="Q54" s="122" t="inlineStr">
        <is>
          <t>TEMPO</t>
        </is>
      </c>
      <c r="R54" s="123" t="inlineStr">
        <is>
          <t>REP</t>
        </is>
      </c>
      <c r="S54" s="122" t="inlineStr">
        <is>
          <t>SET</t>
        </is>
      </c>
      <c r="T54" s="124" t="inlineStr">
        <is>
          <t>CARICO</t>
        </is>
      </c>
      <c r="U54" s="125" t="inlineStr">
        <is>
          <t>Rest</t>
        </is>
      </c>
      <c r="V54" s="125" t="inlineStr">
        <is>
          <t>TUT es</t>
        </is>
      </c>
      <c r="W54" s="122" t="inlineStr">
        <is>
          <t>TEMPO</t>
        </is>
      </c>
      <c r="X54" s="123" t="inlineStr">
        <is>
          <t>REP</t>
        </is>
      </c>
      <c r="Y54" s="122" t="inlineStr">
        <is>
          <t>SET</t>
        </is>
      </c>
      <c r="Z54" s="124" t="inlineStr">
        <is>
          <t>CARICO</t>
        </is>
      </c>
      <c r="AA54" s="125" t="inlineStr">
        <is>
          <t>Rest</t>
        </is>
      </c>
      <c r="AB54" s="125" t="inlineStr">
        <is>
          <t>TUT es</t>
        </is>
      </c>
      <c r="AC54" s="146" t="n"/>
      <c r="AE54" s="163" t="inlineStr">
        <is>
          <t>Carico</t>
        </is>
      </c>
      <c r="AF54" s="163" t="inlineStr">
        <is>
          <t>RPE</t>
        </is>
      </c>
      <c r="AG54" s="163" t="n"/>
      <c r="AH54" s="163" t="inlineStr">
        <is>
          <t>Carico</t>
        </is>
      </c>
      <c r="AI54" s="163" t="inlineStr">
        <is>
          <t>RPE</t>
        </is>
      </c>
      <c r="AK54" s="163" t="inlineStr">
        <is>
          <t>Carico</t>
        </is>
      </c>
      <c r="AL54" s="163" t="inlineStr">
        <is>
          <t>RPE</t>
        </is>
      </c>
      <c r="AN54" s="163" t="inlineStr">
        <is>
          <t>Carico</t>
        </is>
      </c>
      <c r="AO54" s="163" t="inlineStr">
        <is>
          <t>RPE</t>
        </is>
      </c>
    </row>
    <row r="55" hidden="1" ht="15.75" customHeight="1" s="296">
      <c r="C55" s="116" t="n"/>
      <c r="D55" s="126" t="inlineStr">
        <is>
          <t>Velocity no hang pulls monobraccio</t>
        </is>
      </c>
      <c r="E55" s="127" t="n">
        <v>2</v>
      </c>
      <c r="F55" s="128" t="n">
        <v>3</v>
      </c>
      <c r="G55" s="127" t="n">
        <v>3</v>
      </c>
      <c r="H55" s="129" t="n"/>
      <c r="I55" s="130" t="n"/>
      <c r="J55" s="130">
        <f>(E55*F55)+(F55*I55)</f>
        <v/>
      </c>
      <c r="K55" s="127" t="n">
        <v>2</v>
      </c>
      <c r="L55" s="128" t="n">
        <v>3</v>
      </c>
      <c r="M55" s="127" t="n">
        <v>3</v>
      </c>
      <c r="N55" s="129" t="n"/>
      <c r="O55" s="131">
        <f>$I55</f>
        <v/>
      </c>
      <c r="P55" s="130">
        <f>(K55*L55)+(L55*O55)</f>
        <v/>
      </c>
      <c r="Q55" s="127" t="n">
        <v>2</v>
      </c>
      <c r="R55" s="128" t="n">
        <v>3</v>
      </c>
      <c r="S55" s="127" t="n">
        <v>2</v>
      </c>
      <c r="T55" s="129" t="n"/>
      <c r="U55" s="131">
        <f>$I55</f>
        <v/>
      </c>
      <c r="V55" s="130">
        <f>(Q55*R55)+(R55*U55)</f>
        <v/>
      </c>
      <c r="W55" s="127" t="n">
        <v>2</v>
      </c>
      <c r="X55" s="128" t="n">
        <v>3</v>
      </c>
      <c r="Y55" s="127" t="n">
        <v>2</v>
      </c>
      <c r="Z55" s="129" t="n"/>
      <c r="AA55" s="131">
        <f>$I55</f>
        <v/>
      </c>
      <c r="AB55" s="130">
        <f>(W55*X55)+(X55*AA55)</f>
        <v/>
      </c>
      <c r="AC55" s="146" t="n"/>
      <c r="AE55" s="131" t="inlineStr">
        <is>
          <t xml:space="preserve">    </t>
        </is>
      </c>
      <c r="AF55" s="131" t="n">
        <v>4</v>
      </c>
      <c r="AH55" s="131" t="inlineStr">
        <is>
          <t xml:space="preserve">    </t>
        </is>
      </c>
      <c r="AI55" s="131" t="inlineStr">
        <is>
          <t>non segnato</t>
        </is>
      </c>
      <c r="AK55" s="131" t="inlineStr">
        <is>
          <t xml:space="preserve">    </t>
        </is>
      </c>
      <c r="AL55" s="131" t="inlineStr">
        <is>
          <t>non segnato</t>
        </is>
      </c>
      <c r="AN55" s="131" t="inlineStr">
        <is>
          <t xml:space="preserve">    </t>
        </is>
      </c>
      <c r="AO55" s="131" t="inlineStr">
        <is>
          <t>non segnato</t>
        </is>
      </c>
    </row>
    <row r="56" hidden="1" ht="15.75" customHeight="1" s="296">
      <c r="C56" s="116" t="n"/>
      <c r="D56" s="137" t="inlineStr">
        <is>
          <t>Velocity hangs 20mm</t>
        </is>
      </c>
      <c r="E56" s="133" t="n">
        <v>3</v>
      </c>
      <c r="F56" s="133" t="n">
        <v>3</v>
      </c>
      <c r="G56" s="133" t="n">
        <v>4</v>
      </c>
      <c r="H56" s="164" t="n">
        <v>5</v>
      </c>
      <c r="I56" s="135" t="n"/>
      <c r="J56" s="135">
        <f>(E56*F56)+(F56*I56)</f>
        <v/>
      </c>
      <c r="K56" s="133" t="n">
        <v>3</v>
      </c>
      <c r="L56" s="133" t="n">
        <v>3</v>
      </c>
      <c r="M56" s="133" t="n">
        <v>4</v>
      </c>
      <c r="N56" s="164" t="n">
        <v>5</v>
      </c>
      <c r="O56" s="136">
        <f>$I56</f>
        <v/>
      </c>
      <c r="P56" s="135">
        <f>(K56*L56)+(L56*O56)</f>
        <v/>
      </c>
      <c r="Q56" s="133" t="n">
        <v>3</v>
      </c>
      <c r="R56" s="133" t="n">
        <v>3</v>
      </c>
      <c r="S56" s="133" t="n">
        <v>5</v>
      </c>
      <c r="T56" s="164" t="n">
        <v>5</v>
      </c>
      <c r="U56" s="136">
        <f>$I56</f>
        <v/>
      </c>
      <c r="V56" s="135">
        <f>(Q56*R56)+(R56*U56)</f>
        <v/>
      </c>
      <c r="W56" s="133" t="n">
        <v>3</v>
      </c>
      <c r="X56" s="133" t="n">
        <v>3</v>
      </c>
      <c r="Y56" s="133" t="n">
        <v>5</v>
      </c>
      <c r="Z56" s="164" t="n">
        <v>5</v>
      </c>
      <c r="AA56" s="136">
        <f>$I56</f>
        <v/>
      </c>
      <c r="AB56" s="135">
        <f>(W56*X56)+(X56*AA56)</f>
        <v/>
      </c>
      <c r="AC56" s="146" t="n"/>
      <c r="AE56" s="131" t="inlineStr">
        <is>
          <t xml:space="preserve">5kg </t>
        </is>
      </c>
      <c r="AF56" s="131" t="n">
        <v>4</v>
      </c>
      <c r="AH56" s="131" t="inlineStr">
        <is>
          <t xml:space="preserve">5kg </t>
        </is>
      </c>
      <c r="AI56" s="131" t="inlineStr">
        <is>
          <t>non segnato</t>
        </is>
      </c>
      <c r="AK56" s="131" t="inlineStr">
        <is>
          <t xml:space="preserve">5kg </t>
        </is>
      </c>
      <c r="AL56" s="131" t="inlineStr">
        <is>
          <t>non segnato</t>
        </is>
      </c>
      <c r="AN56" s="131" t="inlineStr">
        <is>
          <t xml:space="preserve">5kg </t>
        </is>
      </c>
      <c r="AO56" s="131" t="inlineStr">
        <is>
          <t>non segnato</t>
        </is>
      </c>
    </row>
    <row r="57" hidden="1" ht="15.75" customHeight="1" s="296">
      <c r="C57" s="116" t="n"/>
      <c r="D57" s="126" t="inlineStr">
        <is>
          <t>Sospensioni micros 10mm</t>
        </is>
      </c>
      <c r="E57" s="130" t="n">
        <v>9</v>
      </c>
      <c r="F57" s="127" t="n">
        <v>3</v>
      </c>
      <c r="G57" s="127" t="n">
        <v>2</v>
      </c>
      <c r="H57" s="150" t="n"/>
      <c r="I57" s="130" t="n"/>
      <c r="J57" s="130">
        <f>(E57*F57)+(F57*I57)</f>
        <v/>
      </c>
      <c r="K57" s="130" t="n">
        <v>9</v>
      </c>
      <c r="L57" s="127" t="n">
        <v>3</v>
      </c>
      <c r="M57" s="127" t="n">
        <v>2</v>
      </c>
      <c r="N57" s="150" t="n"/>
      <c r="O57" s="26">
        <f>$I57</f>
        <v/>
      </c>
      <c r="P57" s="130">
        <f>(K57*L57)+(L57*O57)</f>
        <v/>
      </c>
      <c r="Q57" s="130" t="n">
        <v>9</v>
      </c>
      <c r="R57" s="127" t="n">
        <v>3</v>
      </c>
      <c r="S57" s="127" t="n">
        <v>2</v>
      </c>
      <c r="T57" s="150" t="n"/>
      <c r="U57" s="26">
        <f>$I57</f>
        <v/>
      </c>
      <c r="V57" s="130">
        <f>(Q57*R57)+(R57*U57)</f>
        <v/>
      </c>
      <c r="W57" s="130" t="n">
        <v>8</v>
      </c>
      <c r="X57" s="127" t="n">
        <v>3</v>
      </c>
      <c r="Y57" s="127" t="n">
        <v>3</v>
      </c>
      <c r="Z57" s="150" t="n"/>
      <c r="AB57" s="130">
        <f>(W57*X57)+(X57*AA57)</f>
        <v/>
      </c>
      <c r="AC57" s="146" t="n"/>
      <c r="AE57" s="131" t="inlineStr">
        <is>
          <t>10kg</t>
        </is>
      </c>
      <c r="AF57" s="131" t="n">
        <v>7</v>
      </c>
      <c r="AH57" s="131" t="inlineStr">
        <is>
          <t>10kg</t>
        </is>
      </c>
      <c r="AI57" s="131" t="inlineStr">
        <is>
          <t>non segnato</t>
        </is>
      </c>
      <c r="AK57" s="131" t="inlineStr">
        <is>
          <t>10kg</t>
        </is>
      </c>
      <c r="AL57" s="131" t="inlineStr">
        <is>
          <t>non segnato</t>
        </is>
      </c>
      <c r="AN57" s="131" t="inlineStr">
        <is>
          <t>10kg</t>
        </is>
      </c>
      <c r="AO57" s="131" t="inlineStr">
        <is>
          <t>non segnato</t>
        </is>
      </c>
    </row>
    <row r="58" hidden="1" ht="15.75" customHeight="1" s="296">
      <c r="C58" s="116" t="n"/>
      <c r="D58" s="137" t="inlineStr">
        <is>
          <t>Sospensioni due mani 20mm</t>
        </is>
      </c>
      <c r="E58" s="133" t="n">
        <v>6</v>
      </c>
      <c r="F58" s="151" t="n">
        <v>2</v>
      </c>
      <c r="G58" s="133" t="n">
        <v>2</v>
      </c>
      <c r="H58" s="149" t="n"/>
      <c r="I58" s="135" t="n"/>
      <c r="J58" s="135">
        <f>(E58*F58)+(F58*I58)</f>
        <v/>
      </c>
      <c r="K58" s="133" t="n">
        <v>6</v>
      </c>
      <c r="L58" s="151" t="n">
        <v>2</v>
      </c>
      <c r="M58" s="133" t="n">
        <v>3</v>
      </c>
      <c r="N58" s="149" t="n"/>
      <c r="O58" s="136">
        <f>$I58</f>
        <v/>
      </c>
      <c r="P58" s="135">
        <f>(K58*L58)+(L58*O58)</f>
        <v/>
      </c>
      <c r="Q58" s="133" t="n">
        <v>6</v>
      </c>
      <c r="R58" s="151" t="n">
        <v>2</v>
      </c>
      <c r="S58" s="133" t="n">
        <v>3</v>
      </c>
      <c r="T58" s="149" t="n"/>
      <c r="U58" s="136">
        <f>$I58</f>
        <v/>
      </c>
      <c r="V58" s="135">
        <f>(Q58*R58)+(R58*U58)</f>
        <v/>
      </c>
      <c r="W58" s="133" t="n">
        <v>6</v>
      </c>
      <c r="X58" s="151" t="n">
        <v>2</v>
      </c>
      <c r="Y58" s="133" t="n">
        <v>3</v>
      </c>
      <c r="Z58" s="149" t="n"/>
      <c r="AB58" s="130" t="n"/>
      <c r="AC58" s="146" t="n"/>
      <c r="AE58" s="131" t="inlineStr">
        <is>
          <t>15kg</t>
        </is>
      </c>
      <c r="AF58" s="131" t="n">
        <v>6</v>
      </c>
      <c r="AH58" s="131" t="inlineStr">
        <is>
          <t>15kg</t>
        </is>
      </c>
      <c r="AI58" s="131" t="inlineStr">
        <is>
          <t>non segnato</t>
        </is>
      </c>
      <c r="AK58" s="131" t="inlineStr">
        <is>
          <t>15kg</t>
        </is>
      </c>
      <c r="AL58" s="131" t="inlineStr">
        <is>
          <t>non segnato</t>
        </is>
      </c>
      <c r="AN58" s="131" t="inlineStr">
        <is>
          <t>15kg</t>
        </is>
      </c>
      <c r="AO58" s="131" t="inlineStr">
        <is>
          <t>non segnato</t>
        </is>
      </c>
    </row>
    <row r="59" hidden="1" ht="15" customHeight="1" s="296">
      <c r="C59" s="116" t="n"/>
      <c r="D59" s="126" t="inlineStr">
        <is>
          <t>Sospensione due mani 20mm</t>
        </is>
      </c>
      <c r="E59" s="139" t="inlineStr">
        <is>
          <t>AMRAP</t>
        </is>
      </c>
      <c r="F59" s="127" t="n">
        <v>1</v>
      </c>
      <c r="G59" s="127" t="n">
        <v>1</v>
      </c>
      <c r="H59" s="140" t="n">
        <v>25</v>
      </c>
      <c r="I59" s="130" t="n"/>
      <c r="J59" s="130" t="n"/>
      <c r="K59" s="139" t="inlineStr">
        <is>
          <t>AMRAP</t>
        </is>
      </c>
      <c r="L59" s="127" t="n">
        <v>1</v>
      </c>
      <c r="M59" s="127" t="n">
        <v>1</v>
      </c>
      <c r="N59" s="140" t="n">
        <v>25</v>
      </c>
      <c r="O59" s="130" t="n"/>
      <c r="P59" s="130" t="n"/>
      <c r="Q59" s="139" t="inlineStr">
        <is>
          <t>AMRAP</t>
        </is>
      </c>
      <c r="R59" s="127" t="n">
        <v>1</v>
      </c>
      <c r="S59" s="127" t="n">
        <v>1</v>
      </c>
      <c r="T59" s="140" t="n">
        <v>25</v>
      </c>
      <c r="U59" s="130" t="n"/>
      <c r="V59" s="130" t="n"/>
      <c r="W59" s="139" t="inlineStr">
        <is>
          <t>AMRAP</t>
        </is>
      </c>
      <c r="X59" s="127" t="n">
        <v>1</v>
      </c>
      <c r="Y59" s="127" t="n">
        <v>1</v>
      </c>
      <c r="Z59" s="140" t="n">
        <v>25</v>
      </c>
      <c r="AC59" s="146" t="n"/>
      <c r="AE59" s="131" t="inlineStr">
        <is>
          <t>25kg</t>
        </is>
      </c>
      <c r="AF59" s="131" t="inlineStr">
        <is>
          <t>non fatti</t>
        </is>
      </c>
      <c r="AH59" s="131" t="inlineStr">
        <is>
          <t>25kg</t>
        </is>
      </c>
      <c r="AI59" s="131" t="inlineStr">
        <is>
          <t>non segnato</t>
        </is>
      </c>
      <c r="AK59" s="131" t="inlineStr">
        <is>
          <t>25kg</t>
        </is>
      </c>
      <c r="AL59" s="131" t="inlineStr">
        <is>
          <t>non segnato</t>
        </is>
      </c>
      <c r="AN59" s="131" t="inlineStr">
        <is>
          <t>25kg</t>
        </is>
      </c>
      <c r="AO59" s="131" t="inlineStr">
        <is>
          <t>non segnato</t>
        </is>
      </c>
    </row>
    <row r="60" hidden="1" ht="15" customHeight="1" s="296">
      <c r="C60" s="116" t="n"/>
      <c r="D60" s="141" t="inlineStr">
        <is>
          <t>Volume totale:</t>
        </is>
      </c>
      <c r="E60" s="140">
        <f t="array" ref="E60">SUMPRODUCT((E55:E58*F55:F58)*G55:G58)</f>
        <v/>
      </c>
      <c r="H60" s="302" t="n"/>
      <c r="I60" s="130" t="n"/>
      <c r="J60" s="130" t="n"/>
      <c r="K60" s="140">
        <f t="array" ref="K60">SUMPRODUCT((K55:K58*L55:L58)*M55:M58)</f>
        <v/>
      </c>
      <c r="N60" s="302" t="n"/>
      <c r="O60" s="130" t="n"/>
      <c r="P60" s="130" t="n"/>
      <c r="Q60" s="140">
        <f t="array" ref="Q60">SUMPRODUCT((Q55:Q58*R55:R58)*S55:S58)</f>
        <v/>
      </c>
      <c r="T60" s="302" t="n"/>
      <c r="U60" s="130" t="n"/>
      <c r="V60" s="130" t="n"/>
      <c r="W60" s="140">
        <f t="array" ref="W60">SUMPRODUCT((W55:W58*X55:X58)*Y55:Y58)</f>
        <v/>
      </c>
      <c r="Z60" s="302" t="n"/>
      <c r="AC60" s="146" t="n"/>
    </row>
    <row r="61" hidden="1" ht="15" customHeight="1" s="296">
      <c r="C61" s="116" t="n"/>
      <c r="D61" s="141" t="n"/>
      <c r="E61" s="144" t="n"/>
      <c r="F61" s="130" t="n"/>
      <c r="G61" s="130" t="n"/>
      <c r="H61" s="140" t="n"/>
      <c r="I61" s="130" t="n"/>
      <c r="J61" s="130" t="n"/>
      <c r="K61" s="130" t="n"/>
      <c r="L61" s="130" t="n"/>
      <c r="M61" s="130" t="n"/>
      <c r="N61" s="140" t="n"/>
      <c r="O61" s="130" t="n"/>
      <c r="P61" s="130" t="n"/>
      <c r="Q61" s="130" t="n"/>
      <c r="R61" s="130" t="n"/>
      <c r="S61" s="130" t="n"/>
      <c r="T61" s="140" t="n"/>
      <c r="U61" s="130" t="n"/>
      <c r="V61" s="130" t="n"/>
      <c r="W61" s="144" t="n"/>
      <c r="X61" s="130" t="n"/>
      <c r="Y61" s="130" t="n"/>
      <c r="Z61" s="140" t="n"/>
      <c r="AC61" s="146" t="n"/>
    </row>
    <row r="62" hidden="1" ht="15" customHeight="1" s="296">
      <c r="C62" s="116" t="n"/>
      <c r="D62" s="141" t="inlineStr">
        <is>
          <t xml:space="preserve">Recupero:  </t>
        </is>
      </c>
      <c r="E62" s="303" t="inlineStr">
        <is>
          <t xml:space="preserve"> Tra le ripetizioni 7"
											</t>
        </is>
      </c>
      <c r="H62" s="302" t="n"/>
      <c r="I62" s="147" t="n"/>
      <c r="J62" s="147" t="n"/>
      <c r="K62" s="303" t="inlineStr">
        <is>
          <t xml:space="preserve"> Tra le ripetizioni 7"
											</t>
        </is>
      </c>
      <c r="N62" s="302" t="n"/>
      <c r="O62" s="147" t="n"/>
      <c r="P62" s="147" t="n"/>
      <c r="Q62" s="303" t="inlineStr">
        <is>
          <t xml:space="preserve"> Tra le ripetizioni 7"
											</t>
        </is>
      </c>
      <c r="T62" s="302" t="n"/>
      <c r="U62" s="147" t="n"/>
      <c r="V62" s="147" t="n"/>
      <c r="W62" s="303" t="inlineStr">
        <is>
          <t xml:space="preserve"> Tra le ripetizioni 7"
											</t>
        </is>
      </c>
      <c r="Z62" s="302" t="n"/>
      <c r="AC62" s="152" t="n"/>
    </row>
    <row r="63" hidden="1" ht="15" customHeight="1" s="296">
      <c r="C63" s="116" t="n"/>
      <c r="D63" s="141" t="n"/>
      <c r="E63" s="303" t="inlineStr">
        <is>
          <t xml:space="preserve"> Tra le serie 1'45"</t>
        </is>
      </c>
      <c r="H63" s="302" t="n"/>
      <c r="I63" s="147" t="n"/>
      <c r="J63" s="147" t="n"/>
      <c r="K63" s="303" t="inlineStr">
        <is>
          <t xml:space="preserve"> Tra le serie 1'45"</t>
        </is>
      </c>
      <c r="N63" s="302" t="n"/>
      <c r="O63" s="147" t="n"/>
      <c r="P63" s="147" t="n"/>
      <c r="Q63" s="303" t="inlineStr">
        <is>
          <t xml:space="preserve"> Tra le serie 1'45"</t>
        </is>
      </c>
      <c r="T63" s="302" t="n"/>
      <c r="U63" s="147" t="n"/>
      <c r="V63" s="147" t="n"/>
      <c r="W63" s="303" t="inlineStr">
        <is>
          <t xml:space="preserve"> Tra le serie 1'45"</t>
        </is>
      </c>
      <c r="Z63" s="302" t="n"/>
      <c r="AC63" s="152" t="n"/>
    </row>
    <row r="64" hidden="1" ht="15.75" customHeight="1" s="296">
      <c r="C64" s="116" t="n"/>
      <c r="D64" s="144" t="n"/>
      <c r="E64" s="153" t="n"/>
      <c r="F64" s="153" t="n"/>
      <c r="G64" s="153" t="n"/>
      <c r="H64" s="153" t="n"/>
      <c r="I64" s="153" t="n"/>
      <c r="J64" s="153" t="n"/>
      <c r="K64" s="153" t="n"/>
      <c r="L64" s="153" t="n"/>
      <c r="M64" s="153" t="n"/>
      <c r="N64" s="153" t="n"/>
      <c r="O64" s="153" t="n"/>
      <c r="P64" s="153" t="n"/>
      <c r="Q64" s="153" t="n"/>
      <c r="R64" s="153" t="n"/>
      <c r="S64" s="153" t="n"/>
      <c r="T64" s="153" t="n"/>
      <c r="U64" s="153" t="n"/>
      <c r="V64" s="153" t="n"/>
      <c r="W64" s="153" t="n"/>
      <c r="X64" s="153" t="n"/>
      <c r="Y64" s="153" t="n"/>
      <c r="Z64" s="153" t="n"/>
      <c r="AA64" s="153" t="n"/>
      <c r="AB64" s="153" t="n"/>
      <c r="AC64" s="152" t="n"/>
    </row>
    <row r="65" hidden="1" ht="15.75" customHeight="1" s="296">
      <c r="C65" s="116" t="n"/>
      <c r="D65" s="154" t="inlineStr">
        <is>
          <t>Esegui le sospensioni senza arrivare mai allo sfinimento (tranne nell'AMRAP), nel caso siano facili aumenta la zavorra</t>
        </is>
      </c>
      <c r="X65" s="155" t="n"/>
      <c r="Y65" s="155" t="n"/>
      <c r="Z65" s="155" t="n"/>
      <c r="AA65" s="155" t="n"/>
      <c r="AB65" s="155" t="n"/>
      <c r="AC65" s="156" t="n"/>
    </row>
    <row r="66" hidden="1" ht="14.25" customHeight="1" s="296">
      <c r="C66" s="116" t="n"/>
      <c r="D66" s="154" t="inlineStr">
        <is>
          <t>Esegui l'AMRAP entrambi i giorni di allenamento recuperando 3' prima di farlo</t>
        </is>
      </c>
      <c r="R66" s="154" t="n"/>
      <c r="S66" s="154" t="n"/>
      <c r="T66" s="154" t="n"/>
      <c r="U66" s="154" t="n"/>
      <c r="V66" s="154" t="n"/>
      <c r="W66" s="154" t="n"/>
      <c r="X66" s="155" t="n"/>
      <c r="Y66" s="155" t="n"/>
      <c r="Z66" s="155" t="n"/>
      <c r="AA66" s="155" t="n"/>
      <c r="AB66" s="155" t="n"/>
      <c r="AC66" s="156" t="n"/>
    </row>
    <row r="67" hidden="1" ht="15.75" customHeight="1" s="296">
      <c r="C67" s="157" t="n"/>
      <c r="D67" s="158" t="n"/>
      <c r="E67" s="158" t="n"/>
      <c r="F67" s="158" t="n"/>
      <c r="G67" s="158" t="n"/>
      <c r="H67" s="158" t="n"/>
      <c r="I67" s="158" t="n"/>
      <c r="J67" s="158" t="n"/>
      <c r="K67" s="158" t="n"/>
      <c r="L67" s="158" t="n"/>
      <c r="M67" s="158" t="n"/>
      <c r="N67" s="158" t="n"/>
      <c r="O67" s="158" t="n"/>
      <c r="P67" s="158" t="n"/>
      <c r="Q67" s="158" t="n"/>
      <c r="R67" s="158" t="n"/>
      <c r="S67" s="158" t="n"/>
      <c r="T67" s="158" t="n"/>
      <c r="U67" s="158" t="n"/>
      <c r="V67" s="158" t="n"/>
      <c r="W67" s="158" t="n"/>
      <c r="X67" s="158" t="n"/>
      <c r="Y67" s="305" t="n">
        <v>44999</v>
      </c>
      <c r="Z67" s="297" t="n"/>
      <c r="AA67" s="297" t="n"/>
      <c r="AB67" s="297" t="n"/>
      <c r="AC67" s="306" t="n"/>
    </row>
    <row r="68" hidden="1" ht="15.75" customHeight="1" s="296">
      <c r="C68" s="161" t="n"/>
      <c r="D68" s="165" t="n"/>
      <c r="E68" s="44" t="n"/>
      <c r="F68" s="44" t="n"/>
      <c r="G68" s="44" t="n"/>
      <c r="H68" s="44" t="n"/>
      <c r="I68" s="44" t="n"/>
      <c r="J68" s="44" t="n"/>
      <c r="K68" s="44" t="n"/>
      <c r="L68" s="44" t="n"/>
      <c r="M68" s="44" t="n"/>
      <c r="N68" s="44" t="n"/>
      <c r="O68" s="44" t="n"/>
      <c r="P68" s="44" t="n"/>
      <c r="Q68" s="44" t="n"/>
      <c r="R68" s="44" t="n"/>
      <c r="S68" s="44" t="n"/>
      <c r="T68" s="44" t="n"/>
      <c r="U68" s="44" t="n"/>
      <c r="V68" s="44" t="n"/>
      <c r="W68" s="105" t="n"/>
      <c r="X68" s="105" t="n"/>
      <c r="Y68" s="105" t="n"/>
      <c r="Z68" s="105" t="n"/>
      <c r="AA68" s="105" t="n"/>
      <c r="AB68" s="105" t="n"/>
      <c r="AC68" s="105" t="n"/>
    </row>
    <row r="69" hidden="1" ht="15.75" customHeight="1" s="296">
      <c r="C69" s="161" t="n"/>
      <c r="D69" s="165" t="n"/>
      <c r="E69" s="44" t="n"/>
      <c r="F69" s="44" t="n"/>
      <c r="G69" s="44" t="n"/>
      <c r="H69" s="44" t="n"/>
      <c r="I69" s="44" t="n"/>
      <c r="J69" s="44" t="n"/>
      <c r="K69" s="44" t="n"/>
      <c r="L69" s="44" t="n"/>
      <c r="M69" s="44" t="n"/>
      <c r="N69" s="44" t="n"/>
      <c r="O69" s="44" t="n"/>
      <c r="P69" s="44" t="n"/>
      <c r="Q69" s="44" t="n"/>
      <c r="R69" s="44" t="n"/>
      <c r="S69" s="44" t="n"/>
      <c r="T69" s="44" t="n"/>
      <c r="U69" s="44" t="n"/>
      <c r="V69" s="44" t="n"/>
      <c r="W69" s="44" t="n"/>
      <c r="X69" s="44" t="n"/>
      <c r="Y69" s="44" t="n"/>
      <c r="Z69" s="44" t="n"/>
      <c r="AA69" s="44" t="n"/>
      <c r="AB69" s="44" t="n"/>
      <c r="AC69" s="44" t="n"/>
    </row>
    <row r="70" ht="15.75" customHeight="1" s="296">
      <c r="C70" s="44" t="n"/>
      <c r="D70" s="44" t="n"/>
      <c r="E70" s="44" t="n"/>
      <c r="F70" s="44" t="n"/>
      <c r="G70" s="44" t="n"/>
      <c r="H70" s="44" t="n"/>
      <c r="I70" s="44" t="n"/>
      <c r="J70" s="44" t="n"/>
      <c r="K70" s="44" t="n"/>
      <c r="L70" s="44" t="n"/>
      <c r="M70" s="44" t="n"/>
      <c r="N70" s="44" t="n"/>
      <c r="O70" s="44" t="n"/>
      <c r="P70" s="44" t="n"/>
      <c r="Q70" s="44" t="n"/>
      <c r="R70" s="44" t="n"/>
      <c r="S70" s="44" t="n"/>
      <c r="T70" s="44" t="n"/>
      <c r="U70" s="44" t="n"/>
      <c r="V70" s="44" t="n"/>
      <c r="W70" s="44" t="n"/>
      <c r="X70" s="44" t="n"/>
      <c r="Y70" s="44" t="n"/>
      <c r="Z70" s="44" t="n"/>
      <c r="AA70" s="44" t="n"/>
      <c r="AB70" s="44" t="n"/>
      <c r="AC70" s="44" t="n"/>
    </row>
    <row r="71" ht="15.75" customHeight="1" s="296">
      <c r="C71" s="44" t="n"/>
      <c r="D71" s="44" t="n"/>
      <c r="E71" s="44" t="n"/>
      <c r="F71" s="44" t="n"/>
      <c r="G71" s="44" t="n"/>
      <c r="H71" s="44" t="n"/>
      <c r="I71" s="44" t="n"/>
      <c r="J71" s="44" t="n"/>
      <c r="K71" s="44" t="n"/>
      <c r="L71" s="44" t="n"/>
      <c r="M71" s="44" t="n"/>
      <c r="N71" s="44" t="n"/>
      <c r="O71" s="44" t="n"/>
      <c r="P71" s="44" t="n"/>
      <c r="Q71" s="44" t="n"/>
      <c r="R71" s="44" t="n"/>
      <c r="S71" s="44" t="n"/>
      <c r="T71" s="44" t="n"/>
      <c r="U71" s="44" t="n"/>
      <c r="V71" s="44" t="n"/>
      <c r="W71" s="44" t="n"/>
      <c r="X71" s="44" t="n"/>
      <c r="Y71" s="44" t="n"/>
      <c r="Z71" s="44" t="n"/>
      <c r="AA71" s="44" t="n"/>
      <c r="AB71" s="44" t="n"/>
      <c r="AC71" s="44" t="n"/>
    </row>
    <row r="72" ht="15.75" customHeight="1" s="296">
      <c r="C72" s="97" t="inlineStr">
        <is>
          <t>WEEK 9-12</t>
        </is>
      </c>
      <c r="D72" s="144" t="n"/>
      <c r="E72" s="44" t="n"/>
      <c r="F72" s="44" t="n"/>
      <c r="G72" s="99" t="n"/>
      <c r="H72" s="99" t="n"/>
      <c r="I72" s="100" t="n"/>
      <c r="J72" s="100" t="n"/>
      <c r="K72" s="44" t="n"/>
      <c r="L72" s="101" t="inlineStr">
        <is>
          <t>PRIMAVERA 2023</t>
        </is>
      </c>
      <c r="M72" s="297" t="n"/>
      <c r="N72" s="103" t="n"/>
      <c r="O72" s="103" t="n"/>
      <c r="P72" s="103" t="n"/>
      <c r="Q72" s="103" t="n"/>
      <c r="R72" s="44" t="n"/>
      <c r="S72" s="103" t="n"/>
      <c r="T72" s="103" t="n"/>
      <c r="U72" s="103" t="n"/>
      <c r="V72" s="103" t="n"/>
      <c r="W72" s="103" t="n"/>
      <c r="X72" s="103" t="n"/>
      <c r="Y72" s="103" t="n"/>
      <c r="Z72" s="103" t="n"/>
      <c r="AA72" s="103" t="n"/>
      <c r="AB72" s="103" t="n"/>
      <c r="AC72" s="104">
        <f>$AC$3</f>
        <v/>
      </c>
    </row>
    <row r="73" ht="39.75" customHeight="1" s="296">
      <c r="C73" s="106" t="n"/>
      <c r="D73" s="298" t="n"/>
      <c r="E73" s="298" t="n"/>
      <c r="F73" s="298" t="n"/>
      <c r="G73" s="298" t="n"/>
      <c r="H73" s="298" t="n"/>
      <c r="I73" s="298" t="n"/>
      <c r="J73" s="298" t="n"/>
      <c r="K73" s="298" t="n"/>
      <c r="L73" s="298" t="n"/>
      <c r="M73" s="298" t="n"/>
      <c r="N73" s="298" t="n"/>
      <c r="O73" s="298" t="n"/>
      <c r="P73" s="298" t="n"/>
      <c r="Q73" s="298" t="n"/>
      <c r="R73" s="298" t="n"/>
      <c r="S73" s="298" t="n"/>
      <c r="T73" s="298" t="n"/>
      <c r="U73" s="298" t="n"/>
      <c r="V73" s="298" t="n"/>
      <c r="W73" s="298" t="n"/>
      <c r="X73" s="298" t="n"/>
      <c r="Y73" s="298" t="n"/>
      <c r="Z73" s="307">
        <f>$AC$4</f>
        <v/>
      </c>
      <c r="AA73" s="298" t="n"/>
      <c r="AB73" s="298" t="n"/>
      <c r="AC73" s="300" t="n"/>
    </row>
    <row r="74" ht="15.75" customHeight="1" s="296">
      <c r="C74" s="299" t="inlineStr">
        <is>
          <t>2023_05_SOSPENSIONI</t>
        </is>
      </c>
      <c r="D74" s="298" t="n"/>
      <c r="E74" s="298" t="n"/>
      <c r="F74" s="298" t="n"/>
      <c r="G74" s="298" t="n"/>
      <c r="H74" s="298" t="n"/>
      <c r="I74" s="298" t="n"/>
      <c r="J74" s="298" t="n"/>
      <c r="K74" s="298" t="n"/>
      <c r="L74" s="298" t="n"/>
      <c r="M74" s="298" t="n"/>
      <c r="N74" s="298" t="n"/>
      <c r="O74" s="298" t="n"/>
      <c r="P74" s="298" t="n"/>
      <c r="Q74" s="298" t="n"/>
      <c r="R74" s="298" t="n"/>
      <c r="S74" s="298" t="n"/>
      <c r="T74" s="298" t="n"/>
      <c r="U74" s="298" t="n"/>
      <c r="V74" s="298" t="n"/>
      <c r="W74" s="298" t="n"/>
      <c r="X74" s="298" t="n"/>
      <c r="Y74" s="298" t="n"/>
      <c r="Z74" s="298" t="n"/>
      <c r="AA74" s="298" t="n"/>
      <c r="AB74" s="298" t="n"/>
      <c r="AC74" s="300" t="n"/>
    </row>
    <row r="75" ht="15.75" customHeight="1" s="296">
      <c r="C75" s="113" t="n"/>
      <c r="D75" s="114" t="n"/>
      <c r="E75" s="114" t="n"/>
      <c r="F75" s="114" t="n"/>
      <c r="G75" s="114" t="n"/>
      <c r="H75" s="114" t="n"/>
      <c r="I75" s="114" t="n"/>
      <c r="J75" s="114" t="n"/>
      <c r="K75" s="114" t="n"/>
      <c r="L75" s="114" t="n"/>
      <c r="M75" s="114" t="n"/>
      <c r="N75" s="114" t="n"/>
      <c r="O75" s="114" t="n"/>
      <c r="P75" s="114" t="n"/>
      <c r="Q75" s="114" t="n"/>
      <c r="R75" s="114" t="n"/>
      <c r="S75" s="114" t="n"/>
      <c r="T75" s="114" t="n"/>
      <c r="U75" s="114" t="n"/>
      <c r="V75" s="114" t="n"/>
      <c r="W75" s="114" t="n"/>
      <c r="X75" s="114" t="n"/>
      <c r="Y75" s="114" t="n"/>
      <c r="Z75" s="114" t="n"/>
      <c r="AA75" s="114" t="n"/>
      <c r="AB75" s="114" t="n"/>
      <c r="AC75" s="115" t="n"/>
    </row>
    <row r="76" ht="15.75" customHeight="1" s="296">
      <c r="C76" s="116" t="n"/>
      <c r="D76" s="144" t="inlineStr">
        <is>
          <t>FORZA</t>
        </is>
      </c>
      <c r="E76" s="118" t="inlineStr">
        <is>
          <t>Wk 9</t>
        </is>
      </c>
      <c r="H76" s="301" t="n"/>
      <c r="I76" s="119" t="n"/>
      <c r="J76" s="119" t="n"/>
      <c r="K76" s="304" t="inlineStr">
        <is>
          <t>Wk 10</t>
        </is>
      </c>
      <c r="N76" s="301" t="n"/>
      <c r="O76" s="119" t="n"/>
      <c r="P76" s="119" t="n"/>
      <c r="Q76" s="304" t="inlineStr">
        <is>
          <t>Wk 11</t>
        </is>
      </c>
      <c r="T76" s="301" t="n"/>
      <c r="U76" s="119" t="n"/>
      <c r="V76" s="119" t="n"/>
      <c r="W76" s="304" t="inlineStr">
        <is>
          <t>Wk 12</t>
        </is>
      </c>
      <c r="Z76" s="301" t="n"/>
      <c r="AA76" s="119" t="n"/>
      <c r="AB76" s="119" t="n"/>
      <c r="AC76" s="143" t="n"/>
    </row>
    <row r="77" ht="15.75" customHeight="1" s="296">
      <c r="C77" s="116" t="n"/>
      <c r="D77" s="121" t="inlineStr">
        <is>
          <t>Esercizio</t>
        </is>
      </c>
      <c r="E77" s="122" t="inlineStr">
        <is>
          <t>TEMPO</t>
        </is>
      </c>
      <c r="F77" s="123" t="inlineStr">
        <is>
          <t>REP</t>
        </is>
      </c>
      <c r="G77" s="122" t="inlineStr">
        <is>
          <t>SET</t>
        </is>
      </c>
      <c r="H77" s="124" t="inlineStr">
        <is>
          <t>CARICO</t>
        </is>
      </c>
      <c r="I77" s="125" t="inlineStr">
        <is>
          <t>Rest</t>
        </is>
      </c>
      <c r="J77" s="125" t="inlineStr">
        <is>
          <t>TUT es</t>
        </is>
      </c>
      <c r="K77" s="122" t="inlineStr">
        <is>
          <t>TEMPO</t>
        </is>
      </c>
      <c r="L77" s="123" t="inlineStr">
        <is>
          <t>REP</t>
        </is>
      </c>
      <c r="M77" s="122" t="inlineStr">
        <is>
          <t>SET</t>
        </is>
      </c>
      <c r="N77" s="124" t="inlineStr">
        <is>
          <t>CARICO</t>
        </is>
      </c>
      <c r="O77" s="125" t="inlineStr">
        <is>
          <t>Rest</t>
        </is>
      </c>
      <c r="P77" s="125" t="inlineStr">
        <is>
          <t>TUT es</t>
        </is>
      </c>
      <c r="Q77" s="122" t="inlineStr">
        <is>
          <t>TEMPO</t>
        </is>
      </c>
      <c r="R77" s="123" t="inlineStr">
        <is>
          <t>REP</t>
        </is>
      </c>
      <c r="S77" s="122" t="inlineStr">
        <is>
          <t>SET</t>
        </is>
      </c>
      <c r="T77" s="124" t="inlineStr">
        <is>
          <t>CARICO</t>
        </is>
      </c>
      <c r="U77" s="125" t="inlineStr">
        <is>
          <t>Rest</t>
        </is>
      </c>
      <c r="V77" s="125" t="inlineStr">
        <is>
          <t>TUT es</t>
        </is>
      </c>
      <c r="W77" s="122" t="inlineStr">
        <is>
          <t>TEMPO</t>
        </is>
      </c>
      <c r="X77" s="123" t="inlineStr">
        <is>
          <t>REP</t>
        </is>
      </c>
      <c r="Y77" s="122" t="inlineStr">
        <is>
          <t>SET</t>
        </is>
      </c>
      <c r="Z77" s="124" t="inlineStr">
        <is>
          <t>CARICO</t>
        </is>
      </c>
      <c r="AA77" s="125" t="inlineStr">
        <is>
          <t>Rest</t>
        </is>
      </c>
      <c r="AB77" s="125" t="inlineStr">
        <is>
          <t>TUT es</t>
        </is>
      </c>
      <c r="AC77" s="120" t="n"/>
    </row>
    <row r="78" ht="15.75" customHeight="1" s="296">
      <c r="C78" s="116" t="n"/>
      <c r="D78" s="126" t="inlineStr">
        <is>
          <t>Sospensioni due mani dita stese 20mm</t>
        </is>
      </c>
      <c r="E78" s="127" t="n">
        <v>7</v>
      </c>
      <c r="F78" s="128" t="n">
        <v>2</v>
      </c>
      <c r="G78" s="127" t="n">
        <v>3</v>
      </c>
      <c r="H78" s="129" t="n"/>
      <c r="I78" s="130" t="n"/>
      <c r="J78" s="130">
        <f>(E78*F78)+(F78*I78)</f>
        <v/>
      </c>
      <c r="K78" s="127" t="n">
        <v>6</v>
      </c>
      <c r="L78" s="128" t="n">
        <v>2</v>
      </c>
      <c r="M78" s="127" t="n">
        <v>3</v>
      </c>
      <c r="N78" s="129" t="n"/>
      <c r="O78" s="131">
        <f>$I78</f>
        <v/>
      </c>
      <c r="P78" s="130">
        <f>(K78*L78)+(L78*O78)</f>
        <v/>
      </c>
      <c r="Q78" s="127" t="n">
        <v>6</v>
      </c>
      <c r="R78" s="128" t="n">
        <v>2</v>
      </c>
      <c r="S78" s="127" t="n">
        <v>3</v>
      </c>
      <c r="T78" s="129" t="n"/>
      <c r="U78" s="131">
        <f>$I78</f>
        <v/>
      </c>
      <c r="V78" s="130">
        <f>(Q78*R78)+(R78*U78)</f>
        <v/>
      </c>
      <c r="W78" s="127" t="n">
        <v>6</v>
      </c>
      <c r="X78" s="128" t="n">
        <v>2</v>
      </c>
      <c r="Y78" s="127" t="n">
        <v>2</v>
      </c>
      <c r="Z78" s="129" t="n"/>
      <c r="AA78" s="131">
        <f>$I78</f>
        <v/>
      </c>
      <c r="AB78" s="130">
        <f>(W78*X78)+(X78*AA78)</f>
        <v/>
      </c>
      <c r="AC78" s="120" t="n"/>
      <c r="AD78" s="97" t="n"/>
    </row>
    <row r="79" ht="30" customHeight="1" s="296">
      <c r="C79" s="116" t="n"/>
      <c r="D79" s="132" t="inlineStr">
        <is>
          <t>Sospensioni bidito (alterna anulare e indice, ripetizioni per coppia di dita)</t>
        </is>
      </c>
      <c r="E79" s="133" t="n">
        <v>6</v>
      </c>
      <c r="F79" s="133" t="n">
        <v>2</v>
      </c>
      <c r="G79" s="133" t="n">
        <v>2</v>
      </c>
      <c r="H79" s="134" t="inlineStr">
        <is>
          <t>Scarico violento</t>
        </is>
      </c>
      <c r="I79" s="135" t="n"/>
      <c r="J79" s="135">
        <f>(E79*F79)+(F79*I79)</f>
        <v/>
      </c>
      <c r="K79" s="133" t="n">
        <v>6</v>
      </c>
      <c r="L79" s="133" t="n">
        <v>2</v>
      </c>
      <c r="M79" s="133" t="n">
        <v>2</v>
      </c>
      <c r="N79" s="134" t="inlineStr">
        <is>
          <t>Scarico violento</t>
        </is>
      </c>
      <c r="O79" s="136">
        <f>$I79</f>
        <v/>
      </c>
      <c r="P79" s="135">
        <f>(K79*L79)+(L79*O79)</f>
        <v/>
      </c>
      <c r="Q79" s="133" t="n">
        <v>6</v>
      </c>
      <c r="R79" s="133" t="n">
        <v>2</v>
      </c>
      <c r="S79" s="133" t="n">
        <v>2</v>
      </c>
      <c r="T79" s="134" t="inlineStr">
        <is>
          <t>Scarico violento</t>
        </is>
      </c>
      <c r="U79" s="136">
        <f>$I79</f>
        <v/>
      </c>
      <c r="V79" s="135">
        <f>(Q79*R79)+(R79*U79)</f>
        <v/>
      </c>
      <c r="W79" s="133" t="n">
        <v>6</v>
      </c>
      <c r="X79" s="133" t="n">
        <v>2</v>
      </c>
      <c r="Y79" s="133" t="n">
        <v>2</v>
      </c>
      <c r="Z79" s="134" t="inlineStr">
        <is>
          <t>Scarico violento</t>
        </is>
      </c>
      <c r="AA79" s="136">
        <f>$I79</f>
        <v/>
      </c>
      <c r="AB79" s="135">
        <f>(W79*X79)+(X79*AA79)</f>
        <v/>
      </c>
      <c r="AC79" s="120" t="n"/>
      <c r="AD79" s="89" t="n"/>
    </row>
    <row r="80" ht="15.75" customHeight="1" s="296">
      <c r="C80" s="116" t="n"/>
      <c r="D80" s="126" t="inlineStr">
        <is>
          <t>Sospensioni semiarcuate 20mm</t>
        </is>
      </c>
      <c r="E80" s="130" t="n">
        <v>4</v>
      </c>
      <c r="F80" s="127" t="n">
        <v>3</v>
      </c>
      <c r="G80" s="127" t="n">
        <v>4</v>
      </c>
      <c r="H80" s="129" t="n"/>
      <c r="I80" s="130" t="n"/>
      <c r="J80" s="130">
        <f>(E80*F80)+(F80*I80)</f>
        <v/>
      </c>
      <c r="K80" s="130" t="n">
        <v>4</v>
      </c>
      <c r="L80" s="127" t="n">
        <v>2</v>
      </c>
      <c r="M80" s="127" t="n">
        <v>4</v>
      </c>
      <c r="N80" s="129" t="n"/>
      <c r="O80" s="131">
        <f>$I80</f>
        <v/>
      </c>
      <c r="P80" s="130">
        <f>(K80*L80)+(L80*O80)</f>
        <v/>
      </c>
      <c r="Q80" s="130" t="n">
        <v>5</v>
      </c>
      <c r="R80" s="127" t="n">
        <v>2</v>
      </c>
      <c r="S80" s="127" t="n">
        <v>3</v>
      </c>
      <c r="T80" s="129" t="n"/>
      <c r="U80" s="131">
        <f>$I80</f>
        <v/>
      </c>
      <c r="V80" s="130">
        <f>(Q80*R80)+(R80*U80)</f>
        <v/>
      </c>
      <c r="W80" s="130" t="n">
        <v>5</v>
      </c>
      <c r="X80" s="127" t="n">
        <v>2</v>
      </c>
      <c r="Y80" s="127" t="n">
        <v>3</v>
      </c>
      <c r="Z80" s="129" t="n"/>
      <c r="AA80" s="131">
        <f>$I80</f>
        <v/>
      </c>
      <c r="AB80" s="130">
        <f>(W80*X80)+(X80*AA80)</f>
        <v/>
      </c>
      <c r="AC80" s="120" t="n"/>
    </row>
    <row r="81" ht="15.75" customHeight="1" s="296">
      <c r="C81" s="116" t="n"/>
      <c r="D81" s="137" t="inlineStr">
        <is>
          <t>Sospensione pinze</t>
        </is>
      </c>
      <c r="E81" s="133" t="n">
        <v>6</v>
      </c>
      <c r="F81" s="133" t="n">
        <v>2</v>
      </c>
      <c r="G81" s="133" t="n">
        <v>4</v>
      </c>
      <c r="H81" s="138" t="n"/>
      <c r="I81" s="135" t="n"/>
      <c r="J81" s="135" t="n"/>
      <c r="K81" s="133" t="n">
        <v>6</v>
      </c>
      <c r="L81" s="133" t="n">
        <v>2</v>
      </c>
      <c r="M81" s="133" t="n">
        <v>4</v>
      </c>
      <c r="N81" s="138" t="n"/>
      <c r="O81" s="135" t="n"/>
      <c r="P81" s="135" t="n"/>
      <c r="Q81" s="133" t="n">
        <v>6</v>
      </c>
      <c r="R81" s="133" t="n">
        <v>2</v>
      </c>
      <c r="S81" s="133" t="n">
        <v>3</v>
      </c>
      <c r="T81" s="138" t="n"/>
      <c r="U81" s="135" t="n"/>
      <c r="V81" s="135" t="n"/>
      <c r="W81" s="133" t="n">
        <v>6</v>
      </c>
      <c r="X81" s="133" t="n">
        <v>2</v>
      </c>
      <c r="Y81" s="133" t="n">
        <v>3</v>
      </c>
      <c r="Z81" s="138" t="n"/>
      <c r="AA81" s="135" t="n"/>
      <c r="AB81" s="135" t="n"/>
      <c r="AC81" s="120" t="n"/>
    </row>
    <row r="82" ht="15.75" customHeight="1" s="296">
      <c r="C82" s="116" t="n"/>
      <c r="D82" s="126" t="inlineStr">
        <is>
          <t>Sospensione due mani 20mm</t>
        </is>
      </c>
      <c r="E82" s="139" t="inlineStr">
        <is>
          <t>AMRAP</t>
        </is>
      </c>
      <c r="F82" s="127" t="n">
        <v>1</v>
      </c>
      <c r="G82" s="127" t="n">
        <v>1</v>
      </c>
      <c r="H82" s="140" t="n">
        <v>25</v>
      </c>
      <c r="I82" s="130" t="n"/>
      <c r="J82" s="130" t="n"/>
      <c r="K82" s="139" t="inlineStr">
        <is>
          <t>AMRAP</t>
        </is>
      </c>
      <c r="L82" s="127" t="n">
        <v>1</v>
      </c>
      <c r="M82" s="127" t="n">
        <v>1</v>
      </c>
      <c r="N82" s="140" t="n">
        <v>25</v>
      </c>
      <c r="O82" s="130" t="n"/>
      <c r="P82" s="130" t="n"/>
      <c r="Q82" s="139" t="inlineStr">
        <is>
          <t>AMRAP</t>
        </is>
      </c>
      <c r="R82" s="127" t="n">
        <v>1</v>
      </c>
      <c r="S82" s="127" t="n">
        <v>1</v>
      </c>
      <c r="T82" s="140" t="n">
        <v>25</v>
      </c>
      <c r="U82" s="130" t="n"/>
      <c r="V82" s="130" t="n"/>
      <c r="W82" s="139" t="inlineStr">
        <is>
          <t>AMRAP</t>
        </is>
      </c>
      <c r="X82" s="127" t="n">
        <v>1</v>
      </c>
      <c r="Y82" s="127" t="n">
        <v>1</v>
      </c>
      <c r="Z82" s="140" t="n">
        <v>25</v>
      </c>
      <c r="AA82" s="130" t="n"/>
      <c r="AB82" s="130" t="n"/>
      <c r="AC82" s="120" t="n"/>
    </row>
    <row r="83" ht="15" customHeight="1" s="296">
      <c r="C83" s="116" t="n"/>
      <c r="D83" s="141" t="inlineStr">
        <is>
          <t>Volume totale:</t>
        </is>
      </c>
      <c r="E83" s="140">
        <f>SUMPRODUCT((E78:E81*F78:F81)*G78:G81)</f>
        <v/>
      </c>
      <c r="H83" s="302" t="n"/>
      <c r="I83" s="130" t="n"/>
      <c r="J83" s="130" t="n"/>
      <c r="K83" s="140">
        <f>SUMPRODUCT((K78:K81*L78:L81)*M78:M81)</f>
        <v/>
      </c>
      <c r="N83" s="302" t="n"/>
      <c r="O83" s="130" t="n"/>
      <c r="P83" s="130" t="n"/>
      <c r="Q83" s="140">
        <f>SUMPRODUCT((Q78:Q81*R78:R81)*S78:S81)</f>
        <v/>
      </c>
      <c r="T83" s="302" t="n"/>
      <c r="U83" s="130" t="n"/>
      <c r="V83" s="130" t="n"/>
      <c r="W83" s="140">
        <f>SUMPRODUCT((W78:W81*X78:X81)*Y78:Y81)</f>
        <v/>
      </c>
      <c r="Z83" s="302" t="n"/>
      <c r="AA83" s="130" t="n"/>
      <c r="AB83" s="130" t="n"/>
      <c r="AC83" s="143" t="n"/>
    </row>
    <row r="84" ht="15" customHeight="1" s="296">
      <c r="C84" s="116" t="n"/>
      <c r="D84" s="141" t="n"/>
      <c r="E84" s="144" t="n"/>
      <c r="F84" s="130" t="n"/>
      <c r="G84" s="130" t="n"/>
      <c r="H84" s="140" t="n"/>
      <c r="I84" s="130" t="n"/>
      <c r="J84" s="130" t="n"/>
      <c r="K84" s="130" t="n"/>
      <c r="L84" s="130" t="n"/>
      <c r="M84" s="130" t="n"/>
      <c r="N84" s="140" t="n"/>
      <c r="O84" s="130" t="n"/>
      <c r="P84" s="130" t="n"/>
      <c r="Q84" s="130" t="n"/>
      <c r="R84" s="130" t="n"/>
      <c r="S84" s="130" t="n"/>
      <c r="T84" s="140" t="n"/>
      <c r="U84" s="130" t="n"/>
      <c r="V84" s="130" t="n"/>
      <c r="W84" s="144" t="n"/>
      <c r="X84" s="130" t="n"/>
      <c r="Y84" s="130" t="n"/>
      <c r="Z84" s="140" t="n"/>
      <c r="AA84" s="145" t="n"/>
      <c r="AB84" s="145" t="n"/>
      <c r="AC84" s="146" t="n"/>
    </row>
    <row r="85" ht="15" customHeight="1" s="296">
      <c r="C85" s="116" t="n"/>
      <c r="D85" s="141" t="inlineStr">
        <is>
          <t xml:space="preserve">Recupero:  </t>
        </is>
      </c>
      <c r="E85" s="303" t="inlineStr">
        <is>
          <t xml:space="preserve"> Tra le ripetizioni 12"
											</t>
        </is>
      </c>
      <c r="H85" s="302" t="n"/>
      <c r="I85" s="147" t="n"/>
      <c r="J85" s="147" t="n"/>
      <c r="K85" s="303" t="inlineStr">
        <is>
          <t xml:space="preserve"> Tra le ripetizioni 12"
											</t>
        </is>
      </c>
      <c r="N85" s="302" t="n"/>
      <c r="O85" s="147" t="n"/>
      <c r="P85" s="147" t="n"/>
      <c r="Q85" s="303" t="inlineStr">
        <is>
          <t xml:space="preserve"> Tra le ripetizioni 12"
											</t>
        </is>
      </c>
      <c r="T85" s="302" t="n"/>
      <c r="U85" s="147" t="n"/>
      <c r="V85" s="147" t="n"/>
      <c r="W85" s="303" t="inlineStr">
        <is>
          <t xml:space="preserve"> Tra le ripetizioni 12"
											</t>
        </is>
      </c>
      <c r="Z85" s="302" t="n"/>
      <c r="AA85" s="147" t="n"/>
      <c r="AB85" s="147" t="n"/>
      <c r="AC85" s="146" t="n"/>
    </row>
    <row r="86" ht="15" customHeight="1" s="296">
      <c r="C86" s="116" t="n"/>
      <c r="D86" s="141" t="n"/>
      <c r="E86" s="303" t="inlineStr">
        <is>
          <t xml:space="preserve"> Tra le serie 2'+</t>
        </is>
      </c>
      <c r="H86" s="302" t="n"/>
      <c r="I86" s="147" t="n"/>
      <c r="J86" s="147" t="n"/>
      <c r="K86" s="303" t="inlineStr">
        <is>
          <t xml:space="preserve"> Tra le serie 2'+</t>
        </is>
      </c>
      <c r="N86" s="302" t="n"/>
      <c r="O86" s="147" t="n"/>
      <c r="P86" s="147" t="n"/>
      <c r="Q86" s="303" t="inlineStr">
        <is>
          <t xml:space="preserve"> Tra le serie 2'+</t>
        </is>
      </c>
      <c r="T86" s="302" t="n"/>
      <c r="U86" s="147" t="n"/>
      <c r="V86" s="147" t="n"/>
      <c r="W86" s="303" t="inlineStr">
        <is>
          <t xml:space="preserve"> Tra le serie 2'+</t>
        </is>
      </c>
      <c r="Z86" s="302" t="n"/>
      <c r="AA86" s="147" t="n"/>
      <c r="AB86" s="147" t="n"/>
      <c r="AC86" s="146" t="n"/>
    </row>
    <row r="87" ht="15.75" customHeight="1" s="296">
      <c r="C87" s="116" t="n"/>
      <c r="D87" s="141" t="n"/>
      <c r="E87" s="147" t="n"/>
      <c r="F87" s="147" t="n"/>
      <c r="G87" s="147" t="n"/>
      <c r="H87" s="147" t="n"/>
      <c r="I87" s="147" t="n"/>
      <c r="J87" s="147" t="n"/>
      <c r="K87" s="147" t="n"/>
      <c r="L87" s="147" t="n"/>
      <c r="M87" s="147" t="n"/>
      <c r="N87" s="147" t="n"/>
      <c r="O87" s="147" t="n"/>
      <c r="P87" s="147" t="n"/>
      <c r="Q87" s="147" t="n"/>
      <c r="R87" s="147" t="n"/>
      <c r="S87" s="147" t="n"/>
      <c r="T87" s="147" t="n"/>
      <c r="U87" s="147" t="n"/>
      <c r="V87" s="147" t="n"/>
      <c r="W87" s="147" t="n"/>
      <c r="X87" s="147" t="n"/>
      <c r="Y87" s="147" t="n"/>
      <c r="Z87" s="147" t="n"/>
      <c r="AA87" s="147" t="n"/>
      <c r="AB87" s="147" t="n"/>
      <c r="AC87" s="146" t="n"/>
    </row>
    <row r="88" ht="15.75" customHeight="1" s="296">
      <c r="C88" s="116" t="n"/>
      <c r="D88" s="97" t="inlineStr">
        <is>
          <t>FORZA 2 - RFD e Specificità</t>
        </is>
      </c>
      <c r="E88" s="118" t="inlineStr">
        <is>
          <t>Wk 9</t>
        </is>
      </c>
      <c r="H88" s="301" t="n"/>
      <c r="I88" s="119" t="n"/>
      <c r="J88" s="119" t="n"/>
      <c r="K88" s="304" t="inlineStr">
        <is>
          <t>Wk 10</t>
        </is>
      </c>
      <c r="N88" s="301" t="n"/>
      <c r="O88" s="119" t="n"/>
      <c r="P88" s="119" t="n"/>
      <c r="Q88" s="304" t="inlineStr">
        <is>
          <t>Wk 11</t>
        </is>
      </c>
      <c r="T88" s="301" t="n"/>
      <c r="U88" s="119" t="n"/>
      <c r="V88" s="119" t="n"/>
      <c r="W88" s="304" t="inlineStr">
        <is>
          <t>Wk 12</t>
        </is>
      </c>
      <c r="Z88" s="301" t="n"/>
      <c r="AA88" s="119" t="n"/>
      <c r="AB88" s="119" t="n"/>
      <c r="AC88" s="146" t="n"/>
    </row>
    <row r="89" ht="15.75" customHeight="1" s="296">
      <c r="C89" s="116" t="n"/>
      <c r="D89" s="121" t="inlineStr">
        <is>
          <t>Esercizio</t>
        </is>
      </c>
      <c r="E89" s="122" t="inlineStr">
        <is>
          <t>TEMPO</t>
        </is>
      </c>
      <c r="F89" s="123" t="inlineStr">
        <is>
          <t>REP</t>
        </is>
      </c>
      <c r="G89" s="122" t="inlineStr">
        <is>
          <t>SET</t>
        </is>
      </c>
      <c r="H89" s="124" t="inlineStr">
        <is>
          <t>CARICO</t>
        </is>
      </c>
      <c r="I89" s="125" t="inlineStr">
        <is>
          <t>Rest</t>
        </is>
      </c>
      <c r="J89" s="125" t="inlineStr">
        <is>
          <t>TUT es</t>
        </is>
      </c>
      <c r="K89" s="122" t="inlineStr">
        <is>
          <t>TEMPO</t>
        </is>
      </c>
      <c r="L89" s="123" t="inlineStr">
        <is>
          <t>REP</t>
        </is>
      </c>
      <c r="M89" s="122" t="inlineStr">
        <is>
          <t>SET</t>
        </is>
      </c>
      <c r="N89" s="124" t="inlineStr">
        <is>
          <t>CARICO</t>
        </is>
      </c>
      <c r="O89" s="125" t="inlineStr">
        <is>
          <t>Rest</t>
        </is>
      </c>
      <c r="P89" s="125" t="inlineStr">
        <is>
          <t>TUT es</t>
        </is>
      </c>
      <c r="Q89" s="122" t="inlineStr">
        <is>
          <t>TEMPO</t>
        </is>
      </c>
      <c r="R89" s="123" t="inlineStr">
        <is>
          <t>REP</t>
        </is>
      </c>
      <c r="S89" s="122" t="inlineStr">
        <is>
          <t>SET</t>
        </is>
      </c>
      <c r="T89" s="124" t="inlineStr">
        <is>
          <t>CARICO</t>
        </is>
      </c>
      <c r="U89" s="125" t="inlineStr">
        <is>
          <t>Rest</t>
        </is>
      </c>
      <c r="V89" s="125" t="inlineStr">
        <is>
          <t>TUT es</t>
        </is>
      </c>
      <c r="W89" s="122" t="inlineStr">
        <is>
          <t>TEMPO</t>
        </is>
      </c>
      <c r="X89" s="123" t="inlineStr">
        <is>
          <t>REP</t>
        </is>
      </c>
      <c r="Y89" s="122" t="inlineStr">
        <is>
          <t>SET</t>
        </is>
      </c>
      <c r="Z89" s="124" t="inlineStr">
        <is>
          <t>CARICO</t>
        </is>
      </c>
      <c r="AA89" s="125" t="inlineStr">
        <is>
          <t>Rest</t>
        </is>
      </c>
      <c r="AB89" s="125" t="inlineStr">
        <is>
          <t>TUT es</t>
        </is>
      </c>
      <c r="AC89" s="146" t="n"/>
    </row>
    <row r="90" ht="15.75" customHeight="1" s="296">
      <c r="C90" s="116" t="n"/>
      <c r="D90" s="126" t="inlineStr">
        <is>
          <t>Velocity no hang pulls monobraccio</t>
        </is>
      </c>
      <c r="E90" s="127" t="n">
        <v>2</v>
      </c>
      <c r="F90" s="128" t="n">
        <v>3</v>
      </c>
      <c r="G90" s="127" t="n">
        <v>2</v>
      </c>
      <c r="H90" s="129" t="n"/>
      <c r="I90" s="130" t="n"/>
      <c r="J90" s="130">
        <f>(E90*F90)+(F90*I90)</f>
        <v/>
      </c>
      <c r="K90" s="127" t="n"/>
      <c r="L90" s="128" t="n"/>
      <c r="M90" s="127" t="n"/>
      <c r="N90" s="129" t="n"/>
      <c r="O90" s="131">
        <f>$I90</f>
        <v/>
      </c>
      <c r="P90" s="130">
        <f>(K90*L90)+(L90*O90)</f>
        <v/>
      </c>
      <c r="Q90" s="127" t="n"/>
      <c r="R90" s="128" t="n"/>
      <c r="S90" s="127" t="n"/>
      <c r="T90" s="129" t="n"/>
      <c r="U90" s="131">
        <f>$I90</f>
        <v/>
      </c>
      <c r="V90" s="130">
        <f>(Q90*R90)+(R90*U90)</f>
        <v/>
      </c>
      <c r="W90" s="127" t="n"/>
      <c r="X90" s="128" t="n"/>
      <c r="Y90" s="127" t="n"/>
      <c r="Z90" s="129" t="n"/>
      <c r="AA90" s="131">
        <f>$I90</f>
        <v/>
      </c>
      <c r="AB90" s="130">
        <f>(W90*X90)+(X90*AA90)</f>
        <v/>
      </c>
      <c r="AC90" s="146" t="n"/>
    </row>
    <row r="91" ht="15.75" customHeight="1" s="296">
      <c r="C91" s="116" t="n"/>
      <c r="D91" s="137" t="inlineStr">
        <is>
          <t>Velocity hangs 20mm</t>
        </is>
      </c>
      <c r="E91" s="133" t="n">
        <v>3</v>
      </c>
      <c r="F91" s="133" t="n">
        <v>3</v>
      </c>
      <c r="G91" s="133" t="n">
        <v>4</v>
      </c>
      <c r="H91" s="164" t="n">
        <v>10</v>
      </c>
      <c r="I91" s="135" t="n"/>
      <c r="J91" s="135">
        <f>(E91*F91)+(F91*I91)</f>
        <v/>
      </c>
      <c r="K91" s="133" t="n">
        <v>3</v>
      </c>
      <c r="L91" s="133" t="n">
        <v>3</v>
      </c>
      <c r="M91" s="133" t="n">
        <v>4</v>
      </c>
      <c r="N91" s="164" t="n">
        <v>10</v>
      </c>
      <c r="O91" s="136">
        <f>$I91</f>
        <v/>
      </c>
      <c r="P91" s="135">
        <f>(K91*L91)+(L91*O91)</f>
        <v/>
      </c>
      <c r="Q91" s="133" t="n">
        <v>3</v>
      </c>
      <c r="R91" s="133" t="n">
        <v>3</v>
      </c>
      <c r="S91" s="133" t="n">
        <v>3</v>
      </c>
      <c r="T91" s="164" t="n">
        <v>10</v>
      </c>
      <c r="U91" s="136">
        <f>$I91</f>
        <v/>
      </c>
      <c r="V91" s="135">
        <f>(Q91*R91)+(R91*U91)</f>
        <v/>
      </c>
      <c r="W91" s="133" t="n"/>
      <c r="X91" s="133" t="n"/>
      <c r="Y91" s="133" t="n"/>
      <c r="Z91" s="164" t="n"/>
      <c r="AA91" s="136">
        <f>$I91</f>
        <v/>
      </c>
      <c r="AB91" s="135">
        <f>(W91*X91)+(X91*AA91)</f>
        <v/>
      </c>
      <c r="AC91" s="146" t="n"/>
    </row>
    <row r="92" ht="15.75" customHeight="1" s="296">
      <c r="C92" s="116" t="n"/>
      <c r="D92" s="126" t="inlineStr">
        <is>
          <t>Sospensioni micros 10mm</t>
        </is>
      </c>
      <c r="E92" s="130" t="n">
        <v>9</v>
      </c>
      <c r="F92" s="127" t="n">
        <v>3</v>
      </c>
      <c r="G92" s="127" t="n">
        <v>2</v>
      </c>
      <c r="H92" s="150" t="n"/>
      <c r="I92" s="130" t="n"/>
      <c r="J92" s="130">
        <f>(E92*F92)+(F92*I92)</f>
        <v/>
      </c>
      <c r="K92" s="130" t="n">
        <v>9</v>
      </c>
      <c r="L92" s="127" t="n">
        <v>3</v>
      </c>
      <c r="M92" s="127" t="n">
        <v>2</v>
      </c>
      <c r="N92" s="150" t="n"/>
      <c r="O92" s="26">
        <f>$I92</f>
        <v/>
      </c>
      <c r="P92" s="130">
        <f>(K92*L92)+(L92*O92)</f>
        <v/>
      </c>
      <c r="Q92" s="130" t="n">
        <v>9</v>
      </c>
      <c r="R92" s="127" t="n">
        <v>3</v>
      </c>
      <c r="S92" s="127" t="n">
        <v>2</v>
      </c>
      <c r="T92" s="150" t="n"/>
      <c r="U92" s="26">
        <f>$I92</f>
        <v/>
      </c>
      <c r="V92" s="130">
        <f>(Q92*R92)+(R92*U92)</f>
        <v/>
      </c>
      <c r="W92" s="130" t="n"/>
      <c r="X92" s="127" t="n"/>
      <c r="Y92" s="127" t="n"/>
      <c r="Z92" s="150" t="n"/>
      <c r="AB92" s="130">
        <f>(W92*X92)+(X92*AA92)</f>
        <v/>
      </c>
      <c r="AC92" s="146" t="n"/>
    </row>
    <row r="93" ht="15.75" customHeight="1" s="296">
      <c r="C93" s="116" t="n"/>
      <c r="D93" s="137" t="inlineStr">
        <is>
          <t>Sospensioni due mani 20mm</t>
        </is>
      </c>
      <c r="E93" s="133" t="n">
        <v>7</v>
      </c>
      <c r="F93" s="151" t="n">
        <v>2</v>
      </c>
      <c r="G93" s="133" t="n">
        <v>3</v>
      </c>
      <c r="H93" s="149" t="n"/>
      <c r="I93" s="135" t="n"/>
      <c r="J93" s="135">
        <f>(E93*F93)+(F93*I93)</f>
        <v/>
      </c>
      <c r="K93" s="133" t="n">
        <v>7</v>
      </c>
      <c r="L93" s="151" t="n">
        <v>2</v>
      </c>
      <c r="M93" s="133" t="n">
        <v>3</v>
      </c>
      <c r="N93" s="149" t="n"/>
      <c r="O93" s="136">
        <f>$I93</f>
        <v/>
      </c>
      <c r="P93" s="135">
        <f>(K93*L93)+(L93*O93)</f>
        <v/>
      </c>
      <c r="Q93" s="133" t="n">
        <v>7</v>
      </c>
      <c r="R93" s="151" t="n">
        <v>1</v>
      </c>
      <c r="S93" s="133" t="n">
        <v>3</v>
      </c>
      <c r="T93" s="164" t="inlineStr">
        <is>
          <t>RPE8</t>
        </is>
      </c>
      <c r="U93" s="136">
        <f>$I93</f>
        <v/>
      </c>
      <c r="V93" s="135">
        <f>(Q93*R93)+(R93*U93)</f>
        <v/>
      </c>
      <c r="W93" s="133" t="n"/>
      <c r="X93" s="151" t="n"/>
      <c r="Y93" s="133" t="n"/>
      <c r="Z93" s="149" t="n"/>
      <c r="AB93" s="130" t="n"/>
      <c r="AC93" s="146" t="n"/>
    </row>
    <row r="94" ht="15" customHeight="1" s="296">
      <c r="C94" s="116" t="n"/>
      <c r="D94" s="126" t="inlineStr">
        <is>
          <t>Sospensione due mani 20mm</t>
        </is>
      </c>
      <c r="E94" s="139" t="inlineStr">
        <is>
          <t>AMRAP</t>
        </is>
      </c>
      <c r="F94" s="127" t="n">
        <v>1</v>
      </c>
      <c r="G94" s="127" t="n">
        <v>1</v>
      </c>
      <c r="H94" s="140" t="n">
        <v>25</v>
      </c>
      <c r="I94" s="130" t="n"/>
      <c r="J94" s="130" t="n"/>
      <c r="K94" s="139" t="inlineStr">
        <is>
          <t>AMRAP</t>
        </is>
      </c>
      <c r="L94" s="127" t="n">
        <v>1</v>
      </c>
      <c r="M94" s="127" t="n">
        <v>1</v>
      </c>
      <c r="N94" s="140" t="n">
        <v>25</v>
      </c>
      <c r="O94" s="130" t="n"/>
      <c r="P94" s="130" t="n"/>
      <c r="Q94" s="139" t="inlineStr">
        <is>
          <t>AMRAP</t>
        </is>
      </c>
      <c r="R94" s="127" t="n">
        <v>1</v>
      </c>
      <c r="S94" s="127" t="n">
        <v>1</v>
      </c>
      <c r="T94" s="140" t="n">
        <v>25</v>
      </c>
      <c r="U94" s="130" t="n"/>
      <c r="V94" s="130" t="n"/>
      <c r="W94" s="139" t="inlineStr">
        <is>
          <t>AMRAP</t>
        </is>
      </c>
      <c r="X94" s="127" t="n">
        <v>1</v>
      </c>
      <c r="Y94" s="127" t="n">
        <v>1</v>
      </c>
      <c r="Z94" s="140" t="n">
        <v>25</v>
      </c>
      <c r="AC94" s="146" t="n"/>
    </row>
    <row r="95" ht="15" customHeight="1" s="296">
      <c r="C95" s="116" t="n"/>
      <c r="D95" s="141" t="inlineStr">
        <is>
          <t>Volume totale:</t>
        </is>
      </c>
      <c r="E95" s="140">
        <f t="array" ref="E95">SUMPRODUCT((E90:E93*F90:F93)*G90:G93)</f>
        <v/>
      </c>
      <c r="H95" s="302" t="n"/>
      <c r="I95" s="130" t="n"/>
      <c r="J95" s="130" t="n"/>
      <c r="K95" s="140">
        <f t="array" ref="K95">SUMPRODUCT((K90:K93*L90:L93)*M90:M93)</f>
        <v/>
      </c>
      <c r="N95" s="302" t="n"/>
      <c r="O95" s="130" t="n"/>
      <c r="P95" s="130" t="n"/>
      <c r="Q95" s="140">
        <f t="array" ref="Q95">SUMPRODUCT((Q90:Q93*R90:R93)*S90:S93)</f>
        <v/>
      </c>
      <c r="T95" s="302" t="n"/>
      <c r="U95" s="130" t="n"/>
      <c r="V95" s="130" t="n"/>
      <c r="W95" s="140">
        <f t="array" ref="W95">SUMPRODUCT((W90:W93*X90:X93)*Y90:Y93)</f>
        <v/>
      </c>
      <c r="Z95" s="302" t="n"/>
      <c r="AC95" s="146" t="n"/>
    </row>
    <row r="96" ht="15" customHeight="1" s="296">
      <c r="C96" s="116" t="n"/>
      <c r="D96" s="141" t="n"/>
      <c r="E96" s="144" t="n"/>
      <c r="F96" s="130" t="n"/>
      <c r="G96" s="130" t="n"/>
      <c r="H96" s="140" t="n"/>
      <c r="I96" s="130" t="n"/>
      <c r="J96" s="130" t="n"/>
      <c r="K96" s="130" t="n"/>
      <c r="L96" s="130" t="n"/>
      <c r="M96" s="130" t="n"/>
      <c r="N96" s="140" t="n"/>
      <c r="O96" s="130" t="n"/>
      <c r="P96" s="130" t="n"/>
      <c r="Q96" s="130" t="n"/>
      <c r="R96" s="130" t="n"/>
      <c r="S96" s="130" t="n"/>
      <c r="T96" s="140" t="n"/>
      <c r="U96" s="130" t="n"/>
      <c r="V96" s="130" t="n"/>
      <c r="W96" s="144" t="n"/>
      <c r="X96" s="130" t="n"/>
      <c r="Y96" s="130" t="n"/>
      <c r="Z96" s="140" t="n"/>
      <c r="AC96" s="146" t="n"/>
    </row>
    <row r="97" ht="15" customHeight="1" s="296">
      <c r="C97" s="116" t="n"/>
      <c r="D97" s="141" t="inlineStr">
        <is>
          <t xml:space="preserve">Recupero:  </t>
        </is>
      </c>
      <c r="E97" s="303" t="inlineStr">
        <is>
          <t xml:space="preserve"> Tra le ripetizioni 10"
											</t>
        </is>
      </c>
      <c r="H97" s="302" t="n"/>
      <c r="I97" s="147" t="n"/>
      <c r="J97" s="147" t="n"/>
      <c r="K97" s="303" t="inlineStr">
        <is>
          <t xml:space="preserve"> Tra le ripetizioni 10"
											</t>
        </is>
      </c>
      <c r="N97" s="302" t="n"/>
      <c r="O97" s="147" t="n"/>
      <c r="P97" s="147" t="n"/>
      <c r="Q97" s="303" t="inlineStr">
        <is>
          <t xml:space="preserve"> Tra le ripetizioni 10"
											</t>
        </is>
      </c>
      <c r="T97" s="302" t="n"/>
      <c r="U97" s="147" t="n"/>
      <c r="V97" s="147" t="n"/>
      <c r="W97" s="303" t="inlineStr">
        <is>
          <t xml:space="preserve"> Tra le ripetizioni 10"
											</t>
        </is>
      </c>
      <c r="Z97" s="302" t="n"/>
      <c r="AC97" s="152" t="n"/>
    </row>
    <row r="98" ht="15" customHeight="1" s="296">
      <c r="C98" s="116" t="n"/>
      <c r="D98" s="141" t="n"/>
      <c r="E98" s="303" t="inlineStr">
        <is>
          <t xml:space="preserve"> Tra le serie 1'45"</t>
        </is>
      </c>
      <c r="H98" s="302" t="n"/>
      <c r="I98" s="147" t="n"/>
      <c r="J98" s="147" t="n"/>
      <c r="K98" s="303" t="inlineStr">
        <is>
          <t xml:space="preserve"> Tra le serie 1'45"</t>
        </is>
      </c>
      <c r="N98" s="302" t="n"/>
      <c r="O98" s="147" t="n"/>
      <c r="P98" s="147" t="n"/>
      <c r="Q98" s="303" t="inlineStr">
        <is>
          <t xml:space="preserve"> Tra le serie 1'45"</t>
        </is>
      </c>
      <c r="T98" s="302" t="n"/>
      <c r="U98" s="147" t="n"/>
      <c r="V98" s="147" t="n"/>
      <c r="W98" s="303" t="inlineStr">
        <is>
          <t xml:space="preserve"> Tra le serie 1'45"</t>
        </is>
      </c>
      <c r="Z98" s="302" t="n"/>
      <c r="AC98" s="152" t="n"/>
    </row>
    <row r="99" ht="30" customHeight="1" s="296">
      <c r="C99" s="116" t="n"/>
      <c r="D99" s="141" t="n"/>
      <c r="E99" s="147" t="n"/>
      <c r="F99" s="147" t="n"/>
      <c r="G99" s="147" t="n"/>
      <c r="H99" s="147" t="n"/>
      <c r="I99" s="147" t="n"/>
      <c r="J99" s="147" t="n"/>
      <c r="K99" s="147" t="n"/>
      <c r="L99" s="147" t="n"/>
      <c r="M99" s="147" t="n"/>
      <c r="N99" s="147" t="n"/>
      <c r="O99" s="147" t="n"/>
      <c r="P99" s="147" t="n"/>
      <c r="Q99" s="147" t="n"/>
      <c r="R99" s="147" t="n"/>
      <c r="S99" s="147" t="n"/>
      <c r="T99" s="147" t="n"/>
      <c r="U99" s="147" t="n"/>
      <c r="V99" s="147" t="n"/>
      <c r="W99" s="166" t="inlineStr">
        <is>
          <t>TEST MASSIMALI ALL'ULTIMA SEDUTA DELLA WK12</t>
        </is>
      </c>
      <c r="AC99" s="152" t="n"/>
    </row>
    <row r="100" ht="14.25" customHeight="1" s="296">
      <c r="C100" s="116" t="n"/>
      <c r="D100" s="154" t="inlineStr">
        <is>
          <t>Esegui le sospensioni senza arrivare mai allo sfinimento (tranne nell'AMRAP), nel caso siano facili aumenta la zavorra</t>
        </is>
      </c>
      <c r="X100" s="155" t="n"/>
      <c r="Y100" s="155" t="n"/>
      <c r="Z100" s="155" t="n"/>
      <c r="AA100" s="155" t="n"/>
      <c r="AB100" s="155" t="n"/>
      <c r="AC100" s="156" t="n"/>
    </row>
    <row r="101" ht="14.25" customHeight="1" s="296">
      <c r="C101" s="116" t="n"/>
      <c r="D101" s="154" t="inlineStr">
        <is>
          <t>Esegui l'AMRAP entrambi i giorni di allenamento recuperando 3' prima di farlo</t>
        </is>
      </c>
      <c r="S101" s="154" t="n"/>
      <c r="T101" s="154" t="n"/>
      <c r="U101" s="154" t="n"/>
      <c r="V101" s="154" t="n"/>
      <c r="W101" s="154" t="n"/>
      <c r="X101" s="155" t="n"/>
      <c r="Y101" s="155" t="n"/>
      <c r="Z101" s="155" t="n"/>
      <c r="AA101" s="155" t="n"/>
      <c r="AB101" s="155" t="n"/>
      <c r="AC101" s="156" t="n"/>
    </row>
    <row r="102" ht="15.75" customHeight="1" s="296">
      <c r="C102" s="157" t="n"/>
      <c r="D102" s="158" t="n"/>
      <c r="E102" s="158" t="n"/>
      <c r="F102" s="158" t="n"/>
      <c r="G102" s="158" t="n"/>
      <c r="H102" s="158" t="n"/>
      <c r="I102" s="158" t="n"/>
      <c r="J102" s="158" t="n"/>
      <c r="K102" s="158" t="n"/>
      <c r="L102" s="158" t="n"/>
      <c r="M102" s="158" t="n"/>
      <c r="N102" s="158" t="n"/>
      <c r="O102" s="158" t="n"/>
      <c r="P102" s="158" t="n"/>
      <c r="Q102" s="158" t="n"/>
      <c r="R102" s="158" t="n"/>
      <c r="S102" s="158" t="n"/>
      <c r="T102" s="158" t="n"/>
      <c r="U102" s="158" t="n"/>
      <c r="V102" s="158" t="n"/>
      <c r="W102" s="158" t="n"/>
      <c r="X102" s="158" t="n"/>
      <c r="Y102" s="305" t="n">
        <v>45047</v>
      </c>
      <c r="Z102" s="297" t="n"/>
      <c r="AA102" s="297" t="n"/>
      <c r="AB102" s="297" t="n"/>
      <c r="AC102" s="306" t="n"/>
    </row>
    <row r="103" ht="15.75" customHeight="1" s="296"/>
    <row r="104" ht="15.75" customHeight="1" s="296"/>
    <row r="105" ht="15.75" customHeight="1" s="296"/>
    <row r="106" ht="15.75" customHeight="1" s="296"/>
    <row r="107" ht="15.75" customHeight="1" s="296"/>
    <row r="108" ht="15.75" customHeight="1" s="296"/>
    <row r="109" ht="15.75" customHeight="1" s="296"/>
    <row r="110" ht="15.75" customHeight="1" s="296"/>
    <row r="111" ht="15.75" customHeight="1" s="296"/>
    <row r="112" ht="15.75" customHeight="1" s="296"/>
    <row r="113" ht="15.75" customHeight="1" s="296"/>
    <row r="114" ht="15.75" customHeight="1" s="296"/>
    <row r="115" ht="15.75" customHeight="1" s="296"/>
    <row r="116" ht="15.75" customHeight="1" s="296"/>
    <row r="117" ht="15.75" customHeight="1" s="296"/>
    <row r="118" ht="15.75" customHeight="1" s="296"/>
    <row r="119" ht="15.75" customHeight="1" s="296"/>
    <row r="120" ht="15.75" customHeight="1" s="296"/>
    <row r="121" ht="15.75" customHeight="1" s="296"/>
    <row r="122" ht="15.75" customHeight="1" s="296"/>
    <row r="123" ht="15.75" customHeight="1" s="296"/>
    <row r="124" ht="15.75" customHeight="1" s="296"/>
    <row r="125" ht="15.75" customHeight="1" s="296"/>
    <row r="126" ht="15.75" customHeight="1" s="296"/>
    <row r="127" ht="15.75" customHeight="1" s="296"/>
    <row r="128" ht="15.75" customHeight="1" s="296"/>
    <row r="129" ht="15.75" customHeight="1" s="296"/>
    <row r="130" ht="15.75" customHeight="1" s="296"/>
    <row r="131" ht="15.75" customHeight="1" s="296"/>
    <row r="132" ht="15.75" customHeight="1" s="296"/>
    <row r="133" ht="15.75" customHeight="1" s="296"/>
    <row r="134" ht="15.75" customHeight="1" s="296"/>
    <row r="135" ht="15.75" customHeight="1" s="296"/>
    <row r="136" ht="15.75" customHeight="1" s="296"/>
    <row r="137" ht="15.75" customHeight="1" s="296"/>
    <row r="138" ht="15.75" customHeight="1" s="296"/>
    <row r="139" ht="15.75" customHeight="1" s="296"/>
    <row r="140" ht="15.75" customHeight="1" s="296"/>
    <row r="141" ht="15.75" customHeight="1" s="296"/>
    <row r="142" ht="15.75" customHeight="1" s="296"/>
    <row r="143" ht="15.75" customHeight="1" s="296"/>
    <row r="144" ht="15.75" customHeight="1" s="296"/>
    <row r="145" ht="15.75" customHeight="1" s="296"/>
    <row r="146" ht="15.75" customHeight="1" s="296"/>
    <row r="147" ht="15.75" customHeight="1" s="296"/>
    <row r="148" ht="15.75" customHeight="1" s="296"/>
    <row r="149" ht="15.75" customHeight="1" s="296"/>
    <row r="150" ht="15.75" customHeight="1" s="296"/>
    <row r="151" ht="15.75" customHeight="1" s="296"/>
    <row r="152" ht="15.75" customHeight="1" s="296"/>
    <row r="153" ht="15.75" customHeight="1" s="296"/>
    <row r="154" ht="15.75" customHeight="1" s="296"/>
    <row r="155" ht="15.75" customHeight="1" s="296"/>
    <row r="156" ht="15.75" customHeight="1" s="296"/>
    <row r="157" ht="15.75" customHeight="1" s="296"/>
    <row r="158" ht="15.75" customHeight="1" s="296"/>
    <row r="159" ht="15.75" customHeight="1" s="296"/>
    <row r="160" ht="15.75" customHeight="1" s="296"/>
    <row r="161" ht="15.75" customHeight="1" s="296"/>
    <row r="162" ht="15.75" customHeight="1" s="296"/>
    <row r="163" ht="15.75" customHeight="1" s="296"/>
    <row r="164" ht="15.75" customHeight="1" s="296"/>
    <row r="165" ht="15.75" customHeight="1" s="296"/>
    <row r="166" ht="15.75" customHeight="1" s="296"/>
    <row r="167" ht="15.75" customHeight="1" s="296"/>
    <row r="168" ht="15.75" customHeight="1" s="296"/>
    <row r="169" ht="15.75" customHeight="1" s="296"/>
    <row r="170" ht="15.75" customHeight="1" s="296"/>
    <row r="171" ht="15.75" customHeight="1" s="296"/>
    <row r="172" ht="15.75" customHeight="1" s="296"/>
    <row r="173" ht="15.75" customHeight="1" s="296"/>
    <row r="174" ht="15.75" customHeight="1" s="296"/>
    <row r="175" ht="15.75" customHeight="1" s="296"/>
    <row r="176" ht="15.75" customHeight="1" s="296"/>
    <row r="177" ht="15.75" customHeight="1" s="296"/>
    <row r="178" ht="15.75" customHeight="1" s="296"/>
    <row r="179" ht="15.75" customHeight="1" s="296"/>
    <row r="180" ht="15.75" customHeight="1" s="296"/>
    <row r="181" ht="15.75" customHeight="1" s="296"/>
    <row r="182" ht="15.75" customHeight="1" s="296"/>
    <row r="183" ht="15.75" customHeight="1" s="296"/>
    <row r="184" ht="15.75" customHeight="1" s="296"/>
    <row r="185" ht="15.75" customHeight="1" s="296"/>
    <row r="186" ht="15.75" customHeight="1" s="296"/>
    <row r="187" ht="15.75" customHeight="1" s="296"/>
    <row r="188" ht="15.75" customHeight="1" s="296"/>
    <row r="189" ht="15.75" customHeight="1" s="296"/>
    <row r="190" ht="15.75" customHeight="1" s="296"/>
    <row r="191" ht="15.75" customHeight="1" s="296"/>
    <row r="192" ht="15.75" customHeight="1" s="296"/>
    <row r="193" ht="15.75" customHeight="1" s="296"/>
    <row r="194" ht="15.75" customHeight="1" s="296"/>
    <row r="195" ht="15.75" customHeight="1" s="296"/>
    <row r="196" ht="15.75" customHeight="1" s="296"/>
    <row r="197" ht="15.75" customHeight="1" s="296"/>
    <row r="198" ht="15.75" customHeight="1" s="296"/>
    <row r="199" ht="15.75" customHeight="1" s="296"/>
    <row r="200" ht="15.75" customHeight="1" s="296"/>
    <row r="201" ht="15.75" customHeight="1" s="296"/>
    <row r="202" ht="15.75" customHeight="1" s="296"/>
    <row r="203" ht="15.75" customHeight="1" s="296"/>
    <row r="204" ht="15.75" customHeight="1" s="296"/>
    <row r="205" ht="15.75" customHeight="1" s="296"/>
    <row r="206" ht="15.75" customHeight="1" s="296"/>
    <row r="207" ht="15.75" customHeight="1" s="296"/>
    <row r="208" ht="15.75" customHeight="1" s="296"/>
    <row r="209" ht="15.75" customHeight="1" s="296"/>
    <row r="210" ht="15.75" customHeight="1" s="296"/>
    <row r="211" ht="15.75" customHeight="1" s="296"/>
    <row r="212" ht="15.75" customHeight="1" s="296"/>
    <row r="213" ht="15.75" customHeight="1" s="296"/>
    <row r="214" ht="15.75" customHeight="1" s="296"/>
    <row r="215" ht="15.75" customHeight="1" s="296"/>
    <row r="216" ht="15.75" customHeight="1" s="296"/>
    <row r="217" ht="15.75" customHeight="1" s="296"/>
    <row r="218" ht="15.75" customHeight="1" s="296"/>
    <row r="219" ht="15.75" customHeight="1" s="296"/>
    <row r="220" ht="15.75" customHeight="1" s="296"/>
    <row r="221" ht="15.75" customHeight="1" s="296"/>
    <row r="222" ht="15.75" customHeight="1" s="296"/>
    <row r="223" ht="15.75" customHeight="1" s="296"/>
    <row r="224" ht="15.75" customHeight="1" s="296"/>
    <row r="225" ht="15.75" customHeight="1" s="296"/>
    <row r="226" ht="15.75" customHeight="1" s="296"/>
    <row r="227" ht="15.75" customHeight="1" s="296"/>
    <row r="228" ht="15.75" customHeight="1" s="296"/>
    <row r="229" ht="15.75" customHeight="1" s="296"/>
    <row r="230" ht="15.75" customHeight="1" s="296"/>
    <row r="231" ht="15.75" customHeight="1" s="296"/>
    <row r="232" ht="15.75" customHeight="1" s="296"/>
    <row r="233" ht="15.75" customHeight="1" s="296"/>
    <row r="234" ht="15.75" customHeight="1" s="296"/>
    <row r="235" ht="15.75" customHeight="1" s="296"/>
    <row r="236" ht="15.75" customHeight="1" s="296"/>
    <row r="237" ht="15.75" customHeight="1" s="296"/>
    <row r="238" ht="15.75" customHeight="1" s="296"/>
    <row r="239" ht="15.75" customHeight="1" s="296"/>
    <row r="240" ht="15.75" customHeight="1" s="296"/>
    <row r="241" ht="15.75" customHeight="1" s="296"/>
    <row r="242" ht="15.75" customHeight="1" s="296"/>
    <row r="243" ht="15.75" customHeight="1" s="296"/>
    <row r="244" ht="15.75" customHeight="1" s="296"/>
    <row r="245" ht="15.75" customHeight="1" s="296"/>
    <row r="246" ht="15.75" customHeight="1" s="296"/>
    <row r="247" ht="15.75" customHeight="1" s="296"/>
    <row r="248" ht="15.75" customHeight="1" s="296"/>
    <row r="249" ht="15.75" customHeight="1" s="296"/>
    <row r="250" ht="15.75" customHeight="1" s="296"/>
    <row r="251" ht="15.75" customHeight="1" s="296"/>
    <row r="252" ht="15.75" customHeight="1" s="296"/>
    <row r="253" ht="15.75" customHeight="1" s="296"/>
    <row r="254" ht="15.75" customHeight="1" s="296"/>
    <row r="255" ht="15.75" customHeight="1" s="296"/>
    <row r="256" ht="15.75" customHeight="1" s="296"/>
    <row r="257" ht="15.75" customHeight="1" s="296"/>
    <row r="258" ht="15.75" customHeight="1" s="296"/>
    <row r="259" ht="15.75" customHeight="1" s="296"/>
    <row r="260" ht="15.75" customHeight="1" s="296"/>
    <row r="261" ht="15.75" customHeight="1" s="296"/>
    <row r="262" ht="15.75" customHeight="1" s="296"/>
    <row r="263" ht="15.75" customHeight="1" s="296"/>
    <row r="264" ht="15.75" customHeight="1" s="296"/>
    <row r="265" ht="15.75" customHeight="1" s="296"/>
    <row r="266" ht="15.75" customHeight="1" s="296"/>
    <row r="267" ht="15.75" customHeight="1" s="296"/>
    <row r="268" ht="15.75" customHeight="1" s="296"/>
    <row r="269" ht="15.75" customHeight="1" s="296"/>
    <row r="270" ht="15.75" customHeight="1" s="296"/>
    <row r="271" ht="15.75" customHeight="1" s="296"/>
    <row r="272" ht="15.75" customHeight="1" s="296"/>
    <row r="273" ht="15.75" customHeight="1" s="296"/>
    <row r="274" ht="15.75" customHeight="1" s="296"/>
    <row r="275" ht="15.75" customHeight="1" s="296"/>
    <row r="276" ht="15.75" customHeight="1" s="296"/>
    <row r="277" ht="15.75" customHeight="1" s="296"/>
    <row r="278" ht="15.75" customHeight="1" s="296"/>
    <row r="279" ht="15.75" customHeight="1" s="296"/>
    <row r="280" ht="15.75" customHeight="1" s="296"/>
    <row r="281" ht="15.75" customHeight="1" s="296"/>
    <row r="282" ht="15.75" customHeight="1" s="296"/>
    <row r="283" ht="15.75" customHeight="1" s="296"/>
    <row r="284" ht="15.75" customHeight="1" s="296"/>
    <row r="285" ht="15.75" customHeight="1" s="296"/>
    <row r="286" ht="15.75" customHeight="1" s="296"/>
    <row r="287" ht="15.75" customHeight="1" s="296"/>
    <row r="288" ht="15.75" customHeight="1" s="296"/>
    <row r="289" ht="15.75" customHeight="1" s="296"/>
    <row r="290" ht="15.75" customHeight="1" s="296"/>
    <row r="291" ht="15.75" customHeight="1" s="296"/>
    <row r="292" ht="15.75" customHeight="1" s="296"/>
    <row r="293" ht="15.75" customHeight="1" s="296"/>
    <row r="294" ht="15.75" customHeight="1" s="296"/>
    <row r="295" ht="15.75" customHeight="1" s="296"/>
    <row r="296" ht="15.75" customHeight="1" s="296"/>
    <row r="297" ht="15.75" customHeight="1" s="296"/>
    <row r="298" ht="15.75" customHeight="1" s="296"/>
    <row r="299" ht="15.75" customHeight="1" s="296"/>
    <row r="300" ht="15.75" customHeight="1" s="296"/>
    <row r="301" ht="15.75" customHeight="1" s="296"/>
    <row r="302" ht="15.75" customHeight="1" s="296"/>
    <row r="303" ht="15.75" customHeight="1" s="296"/>
    <row r="304" ht="15.75" customHeight="1" s="296"/>
    <row r="305" ht="15.75" customHeight="1" s="296"/>
    <row r="306" ht="15.75" customHeight="1" s="296"/>
    <row r="307" ht="15.75" customHeight="1" s="296"/>
    <row r="308" ht="15.75" customHeight="1" s="296"/>
    <row r="309" ht="15.75" customHeight="1" s="296"/>
    <row r="310" ht="15.75" customHeight="1" s="296"/>
    <row r="311" ht="15.75" customHeight="1" s="296"/>
    <row r="312" ht="15.75" customHeight="1" s="296"/>
    <row r="313" ht="15.75" customHeight="1" s="296"/>
    <row r="314" ht="15.75" customHeight="1" s="296"/>
    <row r="315" ht="15.75" customHeight="1" s="296"/>
    <row r="316" ht="15.75" customHeight="1" s="296"/>
    <row r="317" ht="15.75" customHeight="1" s="296"/>
    <row r="318" ht="15.75" customHeight="1" s="296"/>
    <row r="319" ht="15.75" customHeight="1" s="296"/>
    <row r="320" ht="15.75" customHeight="1" s="296"/>
    <row r="321" ht="15.75" customHeight="1" s="296"/>
    <row r="322" ht="15.75" customHeight="1" s="296"/>
    <row r="323" ht="15.75" customHeight="1" s="296"/>
    <row r="324" ht="15.75" customHeight="1" s="296"/>
    <row r="325" ht="15.75" customHeight="1" s="296"/>
    <row r="326" ht="15.75" customHeight="1" s="296"/>
    <row r="327" ht="15.75" customHeight="1" s="296"/>
    <row r="328" ht="15.75" customHeight="1" s="296"/>
    <row r="329" ht="15.75" customHeight="1" s="296"/>
    <row r="330" ht="15.75" customHeight="1" s="296"/>
    <row r="331" ht="15.75" customHeight="1" s="296"/>
    <row r="332" ht="15.75" customHeight="1" s="296"/>
    <row r="333" ht="15.75" customHeight="1" s="296"/>
    <row r="334" ht="15.75" customHeight="1" s="296"/>
    <row r="335" ht="15.75" customHeight="1" s="296"/>
    <row r="336" ht="15.75" customHeight="1" s="296"/>
    <row r="337" ht="15.75" customHeight="1" s="296"/>
    <row r="338" ht="15.75" customHeight="1" s="296"/>
    <row r="339" ht="15.75" customHeight="1" s="296"/>
    <row r="340" ht="15.75" customHeight="1" s="296"/>
    <row r="341" ht="15.75" customHeight="1" s="296"/>
    <row r="342" ht="15.75" customHeight="1" s="296"/>
    <row r="343" ht="15.75" customHeight="1" s="296"/>
    <row r="344" ht="15.75" customHeight="1" s="296"/>
    <row r="345" ht="15.75" customHeight="1" s="296"/>
    <row r="346" ht="15.75" customHeight="1" s="296"/>
    <row r="347" ht="15.75" customHeight="1" s="296"/>
    <row r="348" ht="15.75" customHeight="1" s="296"/>
    <row r="349" ht="15.75" customHeight="1" s="296"/>
    <row r="350" ht="15.75" customHeight="1" s="296"/>
    <row r="351" ht="15.75" customHeight="1" s="296"/>
    <row r="352" ht="15.75" customHeight="1" s="296"/>
    <row r="353" ht="15.75" customHeight="1" s="296"/>
    <row r="354" ht="15.75" customHeight="1" s="296"/>
    <row r="355" ht="15.75" customHeight="1" s="296"/>
    <row r="356" ht="15.75" customHeight="1" s="296"/>
    <row r="357" ht="15.75" customHeight="1" s="296"/>
    <row r="358" ht="15.75" customHeight="1" s="296"/>
    <row r="359" ht="15.75" customHeight="1" s="296"/>
    <row r="360" ht="15.75" customHeight="1" s="296"/>
    <row r="361" ht="15.75" customHeight="1" s="296"/>
    <row r="362" ht="15.75" customHeight="1" s="296"/>
    <row r="363" ht="15.75" customHeight="1" s="296"/>
    <row r="364" ht="15.75" customHeight="1" s="296"/>
    <row r="365" ht="15.75" customHeight="1" s="296"/>
    <row r="366" ht="15.75" customHeight="1" s="296"/>
    <row r="367" ht="15.75" customHeight="1" s="296"/>
    <row r="368" ht="15.75" customHeight="1" s="296"/>
    <row r="369" ht="15.75" customHeight="1" s="296"/>
    <row r="370" ht="15.75" customHeight="1" s="296"/>
    <row r="371" ht="15.75" customHeight="1" s="296"/>
    <row r="372" ht="15.75" customHeight="1" s="296"/>
    <row r="373" ht="15.75" customHeight="1" s="296"/>
    <row r="374" ht="15.75" customHeight="1" s="296"/>
    <row r="375" ht="15.75" customHeight="1" s="296"/>
    <row r="376" ht="15.75" customHeight="1" s="296"/>
    <row r="377" ht="15.75" customHeight="1" s="296"/>
    <row r="378" ht="15.75" customHeight="1" s="296"/>
    <row r="379" ht="15.75" customHeight="1" s="296"/>
    <row r="380" ht="15.75" customHeight="1" s="296"/>
    <row r="381" ht="15.75" customHeight="1" s="296"/>
    <row r="382" ht="15.75" customHeight="1" s="296"/>
    <row r="383" ht="15.75" customHeight="1" s="296"/>
    <row r="384" ht="15.75" customHeight="1" s="296"/>
    <row r="385" ht="15.75" customHeight="1" s="296"/>
    <row r="386" ht="15.75" customHeight="1" s="296"/>
    <row r="387" ht="15.75" customHeight="1" s="296"/>
    <row r="388" ht="15.75" customHeight="1" s="296"/>
    <row r="389" ht="15.75" customHeight="1" s="296"/>
    <row r="390" ht="15.75" customHeight="1" s="296"/>
    <row r="391" ht="15.75" customHeight="1" s="296"/>
    <row r="392" ht="15.75" customHeight="1" s="296"/>
    <row r="393" ht="15.75" customHeight="1" s="296"/>
    <row r="394" ht="15.75" customHeight="1" s="296"/>
    <row r="395" ht="15.75" customHeight="1" s="296"/>
    <row r="396" ht="15.75" customHeight="1" s="296"/>
    <row r="397" ht="15.75" customHeight="1" s="296"/>
    <row r="398" ht="15.75" customHeight="1" s="296"/>
    <row r="399" ht="15.75" customHeight="1" s="296"/>
    <row r="400" ht="15.75" customHeight="1" s="296"/>
    <row r="401" ht="15.75" customHeight="1" s="296"/>
    <row r="402" ht="15.75" customHeight="1" s="296"/>
    <row r="403" ht="15.75" customHeight="1" s="296"/>
    <row r="404" ht="15.75" customHeight="1" s="296"/>
    <row r="405" ht="15.75" customHeight="1" s="296"/>
    <row r="406" ht="15.75" customHeight="1" s="296"/>
    <row r="407" ht="15.75" customHeight="1" s="296"/>
    <row r="408" ht="15.75" customHeight="1" s="296"/>
    <row r="409" ht="15.75" customHeight="1" s="296"/>
    <row r="410" ht="15.75" customHeight="1" s="296"/>
    <row r="411" ht="15.75" customHeight="1" s="296"/>
    <row r="412" ht="15.75" customHeight="1" s="296"/>
    <row r="413" ht="15.75" customHeight="1" s="296"/>
    <row r="414" ht="15.75" customHeight="1" s="296"/>
    <row r="415" ht="15.75" customHeight="1" s="296"/>
    <row r="416" ht="15.75" customHeight="1" s="296"/>
    <row r="417" ht="15.75" customHeight="1" s="296"/>
    <row r="418" ht="15.75" customHeight="1" s="296"/>
    <row r="419" ht="15.75" customHeight="1" s="296"/>
    <row r="420" ht="15.75" customHeight="1" s="296"/>
    <row r="421" ht="15.75" customHeight="1" s="296"/>
    <row r="422" ht="15.75" customHeight="1" s="296"/>
    <row r="423" ht="15.75" customHeight="1" s="296"/>
    <row r="424" ht="15.75" customHeight="1" s="296"/>
    <row r="425" ht="15.75" customHeight="1" s="296"/>
    <row r="426" ht="15.75" customHeight="1" s="296"/>
    <row r="427" ht="15.75" customHeight="1" s="296"/>
    <row r="428" ht="15.75" customHeight="1" s="296"/>
    <row r="429" ht="15.75" customHeight="1" s="296"/>
    <row r="430" ht="15.75" customHeight="1" s="296"/>
    <row r="431" ht="15.75" customHeight="1" s="296"/>
    <row r="432" ht="15.75" customHeight="1" s="296"/>
    <row r="433" ht="15.75" customHeight="1" s="296"/>
    <row r="434" ht="15.75" customHeight="1" s="296"/>
    <row r="435" ht="15.75" customHeight="1" s="296"/>
    <row r="436" ht="15.75" customHeight="1" s="296"/>
    <row r="437" ht="15.75" customHeight="1" s="296"/>
    <row r="438" ht="15.75" customHeight="1" s="296"/>
    <row r="439" ht="15.75" customHeight="1" s="296"/>
    <row r="440" ht="15.75" customHeight="1" s="296"/>
    <row r="441" ht="15.75" customHeight="1" s="296"/>
    <row r="442" ht="15.75" customHeight="1" s="296"/>
    <row r="443" ht="15.75" customHeight="1" s="296"/>
    <row r="444" ht="15.75" customHeight="1" s="296"/>
    <row r="445" ht="15.75" customHeight="1" s="296"/>
    <row r="446" ht="15.75" customHeight="1" s="296"/>
    <row r="447" ht="15.75" customHeight="1" s="296"/>
    <row r="448" ht="15.75" customHeight="1" s="296"/>
    <row r="449" ht="15.75" customHeight="1" s="296"/>
    <row r="450" ht="15.75" customHeight="1" s="296"/>
    <row r="451" ht="15.75" customHeight="1" s="296"/>
    <row r="452" ht="15.75" customHeight="1" s="296"/>
    <row r="453" ht="15.75" customHeight="1" s="296"/>
    <row r="454" ht="15.75" customHeight="1" s="296"/>
    <row r="455" ht="15.75" customHeight="1" s="296"/>
    <row r="456" ht="15.75" customHeight="1" s="296"/>
    <row r="457" ht="15.75" customHeight="1" s="296"/>
    <row r="458" ht="15.75" customHeight="1" s="296"/>
    <row r="459" ht="15.75" customHeight="1" s="296"/>
    <row r="460" ht="15.75" customHeight="1" s="296"/>
    <row r="461" ht="15.75" customHeight="1" s="296"/>
    <row r="462" ht="15.75" customHeight="1" s="296"/>
    <row r="463" ht="15.75" customHeight="1" s="296"/>
    <row r="464" ht="15.75" customHeight="1" s="296"/>
    <row r="465" ht="15.75" customHeight="1" s="296"/>
    <row r="466" ht="15.75" customHeight="1" s="296"/>
    <row r="467" ht="15.75" customHeight="1" s="296"/>
    <row r="468" ht="15.75" customHeight="1" s="296"/>
    <row r="469" ht="15.75" customHeight="1" s="296"/>
    <row r="470" ht="15.75" customHeight="1" s="296"/>
    <row r="471" ht="15.75" customHeight="1" s="296"/>
    <row r="472" ht="15.75" customHeight="1" s="296"/>
    <row r="473" ht="15.75" customHeight="1" s="296"/>
    <row r="474" ht="15.75" customHeight="1" s="296"/>
    <row r="475" ht="15.75" customHeight="1" s="296"/>
    <row r="476" ht="15.75" customHeight="1" s="296"/>
    <row r="477" ht="15.75" customHeight="1" s="296"/>
    <row r="478" ht="15.75" customHeight="1" s="296"/>
    <row r="479" ht="15.75" customHeight="1" s="296"/>
    <row r="480" ht="15.75" customHeight="1" s="296"/>
    <row r="481" ht="15.75" customHeight="1" s="296"/>
    <row r="482" ht="15.75" customHeight="1" s="296"/>
    <row r="483" ht="15.75" customHeight="1" s="296"/>
    <row r="484" ht="15.75" customHeight="1" s="296"/>
    <row r="485" ht="15.75" customHeight="1" s="296"/>
    <row r="486" ht="15.75" customHeight="1" s="296"/>
    <row r="487" ht="15.75" customHeight="1" s="296"/>
    <row r="488" ht="15.75" customHeight="1" s="296"/>
    <row r="489" ht="15.75" customHeight="1" s="296"/>
    <row r="490" ht="15.75" customHeight="1" s="296"/>
    <row r="491" ht="15.75" customHeight="1" s="296"/>
    <row r="492" ht="15.75" customHeight="1" s="296"/>
    <row r="493" ht="15.75" customHeight="1" s="296"/>
    <row r="494" ht="15.75" customHeight="1" s="296"/>
    <row r="495" ht="15.75" customHeight="1" s="296"/>
    <row r="496" ht="15.75" customHeight="1" s="296"/>
    <row r="497" ht="15.75" customHeight="1" s="296"/>
    <row r="498" ht="15.75" customHeight="1" s="296"/>
    <row r="499" ht="15.75" customHeight="1" s="296"/>
    <row r="500" ht="15.75" customHeight="1" s="296"/>
    <row r="501" ht="15.75" customHeight="1" s="296"/>
    <row r="502" ht="15.75" customHeight="1" s="296"/>
    <row r="503" ht="15.75" customHeight="1" s="296"/>
    <row r="504" ht="15.75" customHeight="1" s="296"/>
    <row r="505" ht="15.75" customHeight="1" s="296"/>
    <row r="506" ht="15.75" customHeight="1" s="296"/>
    <row r="507" ht="15.75" customHeight="1" s="296"/>
    <row r="508" ht="15.75" customHeight="1" s="296"/>
    <row r="509" ht="15.75" customHeight="1" s="296"/>
    <row r="510" ht="15.75" customHeight="1" s="296"/>
    <row r="511" ht="15.75" customHeight="1" s="296"/>
    <row r="512" ht="15.75" customHeight="1" s="296"/>
    <row r="513" ht="15.75" customHeight="1" s="296"/>
    <row r="514" ht="15.75" customHeight="1" s="296"/>
    <row r="515" ht="15.75" customHeight="1" s="296"/>
    <row r="516" ht="15.75" customHeight="1" s="296"/>
    <row r="517" ht="15.75" customHeight="1" s="296"/>
    <row r="518" ht="15.75" customHeight="1" s="296"/>
    <row r="519" ht="15.75" customHeight="1" s="296"/>
    <row r="520" ht="15.75" customHeight="1" s="296"/>
    <row r="521" ht="15.75" customHeight="1" s="296"/>
    <row r="522" ht="15.75" customHeight="1" s="296"/>
    <row r="523" ht="15.75" customHeight="1" s="296"/>
    <row r="524" ht="15.75" customHeight="1" s="296"/>
    <row r="525" ht="15.75" customHeight="1" s="296"/>
    <row r="526" ht="15.75" customHeight="1" s="296"/>
    <row r="527" ht="15.75" customHeight="1" s="296"/>
    <row r="528" ht="15.75" customHeight="1" s="296"/>
    <row r="529" ht="15.75" customHeight="1" s="296"/>
    <row r="530" ht="15.75" customHeight="1" s="296"/>
    <row r="531" ht="15.75" customHeight="1" s="296"/>
    <row r="532" ht="15.75" customHeight="1" s="296"/>
    <row r="533" ht="15.75" customHeight="1" s="296"/>
    <row r="534" ht="15.75" customHeight="1" s="296"/>
    <row r="535" ht="15.75" customHeight="1" s="296"/>
    <row r="536" ht="15.75" customHeight="1" s="296"/>
    <row r="537" ht="15.75" customHeight="1" s="296"/>
    <row r="538" ht="15.75" customHeight="1" s="296"/>
    <row r="539" ht="15.75" customHeight="1" s="296"/>
    <row r="540" ht="15.75" customHeight="1" s="296"/>
    <row r="541" ht="15.75" customHeight="1" s="296"/>
    <row r="542" ht="15.75" customHeight="1" s="296"/>
    <row r="543" ht="15.75" customHeight="1" s="296"/>
    <row r="544" ht="15.75" customHeight="1" s="296"/>
    <row r="545" ht="15.75" customHeight="1" s="296"/>
    <row r="546" ht="15.75" customHeight="1" s="296"/>
    <row r="547" ht="15.75" customHeight="1" s="296"/>
    <row r="548" ht="15.75" customHeight="1" s="296"/>
    <row r="549" ht="15.75" customHeight="1" s="296"/>
    <row r="550" ht="15.75" customHeight="1" s="296"/>
    <row r="551" ht="15.75" customHeight="1" s="296"/>
    <row r="552" ht="15.75" customHeight="1" s="296"/>
    <row r="553" ht="15.75" customHeight="1" s="296"/>
    <row r="554" ht="15.75" customHeight="1" s="296"/>
    <row r="555" ht="15.75" customHeight="1" s="296"/>
    <row r="556" ht="15.75" customHeight="1" s="296"/>
    <row r="557" ht="15.75" customHeight="1" s="296"/>
    <row r="558" ht="15.75" customHeight="1" s="296"/>
    <row r="559" ht="15.75" customHeight="1" s="296"/>
    <row r="560" ht="15.75" customHeight="1" s="296"/>
    <row r="561" ht="15.75" customHeight="1" s="296"/>
    <row r="562" ht="15.75" customHeight="1" s="296"/>
    <row r="563" ht="15.75" customHeight="1" s="296"/>
    <row r="564" ht="15.75" customHeight="1" s="296"/>
    <row r="565" ht="15.75" customHeight="1" s="296"/>
    <row r="566" ht="15.75" customHeight="1" s="296"/>
    <row r="567" ht="15.75" customHeight="1" s="296"/>
    <row r="568" ht="15.75" customHeight="1" s="296"/>
    <row r="569" ht="15.75" customHeight="1" s="296"/>
    <row r="570" ht="15.75" customHeight="1" s="296"/>
    <row r="571" ht="15.75" customHeight="1" s="296"/>
    <row r="572" ht="15.75" customHeight="1" s="296"/>
    <row r="573" ht="15.75" customHeight="1" s="296"/>
    <row r="574" ht="15.75" customHeight="1" s="296"/>
    <row r="575" ht="15.75" customHeight="1" s="296"/>
    <row r="576" ht="15.75" customHeight="1" s="296"/>
    <row r="577" ht="15.75" customHeight="1" s="296"/>
    <row r="578" ht="15.75" customHeight="1" s="296"/>
    <row r="579" ht="15.75" customHeight="1" s="296"/>
    <row r="580" ht="15.75" customHeight="1" s="296"/>
    <row r="581" ht="15.75" customHeight="1" s="296"/>
    <row r="582" ht="15.75" customHeight="1" s="296"/>
    <row r="583" ht="15.75" customHeight="1" s="296"/>
    <row r="584" ht="15.75" customHeight="1" s="296"/>
    <row r="585" ht="15.75" customHeight="1" s="296"/>
    <row r="586" ht="15.75" customHeight="1" s="296"/>
    <row r="587" ht="15.75" customHeight="1" s="296"/>
    <row r="588" ht="15.75" customHeight="1" s="296"/>
    <row r="589" ht="15.75" customHeight="1" s="296"/>
    <row r="590" ht="15.75" customHeight="1" s="296"/>
    <row r="591" ht="15.75" customHeight="1" s="296"/>
    <row r="592" ht="15.75" customHeight="1" s="296"/>
    <row r="593" ht="15.75" customHeight="1" s="296"/>
    <row r="594" ht="15.75" customHeight="1" s="296"/>
    <row r="595" ht="15.75" customHeight="1" s="296"/>
    <row r="596" ht="15.75" customHeight="1" s="296"/>
    <row r="597" ht="15.75" customHeight="1" s="296"/>
    <row r="598" ht="15.75" customHeight="1" s="296"/>
    <row r="599" ht="15.75" customHeight="1" s="296"/>
    <row r="600" ht="15.75" customHeight="1" s="296"/>
    <row r="601" ht="15.75" customHeight="1" s="296"/>
    <row r="602" ht="15.75" customHeight="1" s="296"/>
    <row r="603" ht="15.75" customHeight="1" s="296"/>
    <row r="604" ht="15.75" customHeight="1" s="296"/>
    <row r="605" ht="15.75" customHeight="1" s="296"/>
    <row r="606" ht="15.75" customHeight="1" s="296"/>
    <row r="607" ht="15.75" customHeight="1" s="296"/>
    <row r="608" ht="15.75" customHeight="1" s="296"/>
    <row r="609" ht="15.75" customHeight="1" s="296"/>
    <row r="610" ht="15.75" customHeight="1" s="296"/>
    <row r="611" ht="15.75" customHeight="1" s="296"/>
    <row r="612" ht="15.75" customHeight="1" s="296"/>
    <row r="613" ht="15.75" customHeight="1" s="296"/>
    <row r="614" ht="15.75" customHeight="1" s="296"/>
    <row r="615" ht="15.75" customHeight="1" s="296"/>
    <row r="616" ht="15.75" customHeight="1" s="296"/>
    <row r="617" ht="15.75" customHeight="1" s="296"/>
    <row r="618" ht="15.75" customHeight="1" s="296"/>
    <row r="619" ht="15.75" customHeight="1" s="296"/>
    <row r="620" ht="15.75" customHeight="1" s="296"/>
    <row r="621" ht="15.75" customHeight="1" s="296"/>
    <row r="622" ht="15.75" customHeight="1" s="296"/>
    <row r="623" ht="15.75" customHeight="1" s="296"/>
    <row r="624" ht="15.75" customHeight="1" s="296"/>
    <row r="625" ht="15.75" customHeight="1" s="296"/>
    <row r="626" ht="15.75" customHeight="1" s="296"/>
    <row r="627" ht="15.75" customHeight="1" s="296"/>
    <row r="628" ht="15.75" customHeight="1" s="296"/>
    <row r="629" ht="15.75" customHeight="1" s="296"/>
    <row r="630" ht="15.75" customHeight="1" s="296"/>
    <row r="631" ht="15.75" customHeight="1" s="296"/>
    <row r="632" ht="15.75" customHeight="1" s="296"/>
    <row r="633" ht="15.75" customHeight="1" s="296"/>
    <row r="634" ht="15.75" customHeight="1" s="296"/>
    <row r="635" ht="15.75" customHeight="1" s="296"/>
    <row r="636" ht="15.75" customHeight="1" s="296"/>
    <row r="637" ht="15.75" customHeight="1" s="296"/>
    <row r="638" ht="15.75" customHeight="1" s="296"/>
    <row r="639" ht="15.75" customHeight="1" s="296"/>
    <row r="640" ht="15.75" customHeight="1" s="296"/>
    <row r="641" ht="15.75" customHeight="1" s="296"/>
    <row r="642" ht="15.75" customHeight="1" s="296"/>
    <row r="643" ht="15.75" customHeight="1" s="296"/>
    <row r="644" ht="15.75" customHeight="1" s="296"/>
    <row r="645" ht="15.75" customHeight="1" s="296"/>
    <row r="646" ht="15.75" customHeight="1" s="296"/>
    <row r="647" ht="15.75" customHeight="1" s="296"/>
    <row r="648" ht="15.75" customHeight="1" s="296"/>
    <row r="649" ht="15.75" customHeight="1" s="296"/>
    <row r="650" ht="15.75" customHeight="1" s="296"/>
    <row r="651" ht="15.75" customHeight="1" s="296"/>
    <row r="652" ht="15.75" customHeight="1" s="296"/>
    <row r="653" ht="15.75" customHeight="1" s="296"/>
    <row r="654" ht="15.75" customHeight="1" s="296"/>
    <row r="655" ht="15.75" customHeight="1" s="296"/>
    <row r="656" ht="15.75" customHeight="1" s="296"/>
    <row r="657" ht="15.75" customHeight="1" s="296"/>
    <row r="658" ht="15.75" customHeight="1" s="296"/>
    <row r="659" ht="15.75" customHeight="1" s="296"/>
    <row r="660" ht="15.75" customHeight="1" s="296"/>
    <row r="661" ht="15.75" customHeight="1" s="296"/>
    <row r="662" ht="15.75" customHeight="1" s="296"/>
    <row r="663" ht="15.75" customHeight="1" s="296"/>
    <row r="664" ht="15.75" customHeight="1" s="296"/>
    <row r="665" ht="15.75" customHeight="1" s="296"/>
    <row r="666" ht="15.75" customHeight="1" s="296"/>
    <row r="667" ht="15.75" customHeight="1" s="296"/>
    <row r="668" ht="15.75" customHeight="1" s="296"/>
    <row r="669" ht="15.75" customHeight="1" s="296"/>
    <row r="670" ht="15.75" customHeight="1" s="296"/>
    <row r="671" ht="15.75" customHeight="1" s="296"/>
    <row r="672" ht="15.75" customHeight="1" s="296"/>
    <row r="673" ht="15.75" customHeight="1" s="296"/>
    <row r="674" ht="15.75" customHeight="1" s="296"/>
    <row r="675" ht="15.75" customHeight="1" s="296"/>
    <row r="676" ht="15.75" customHeight="1" s="296"/>
    <row r="677" ht="15.75" customHeight="1" s="296"/>
    <row r="678" ht="15.75" customHeight="1" s="296"/>
    <row r="679" ht="15.75" customHeight="1" s="296"/>
    <row r="680" ht="15.75" customHeight="1" s="296"/>
    <row r="681" ht="15.75" customHeight="1" s="296"/>
    <row r="682" ht="15.75" customHeight="1" s="296"/>
    <row r="683" ht="15.75" customHeight="1" s="296"/>
    <row r="684" ht="15.75" customHeight="1" s="296"/>
    <row r="685" ht="15.75" customHeight="1" s="296"/>
    <row r="686" ht="15.75" customHeight="1" s="296"/>
    <row r="687" ht="15.75" customHeight="1" s="296"/>
    <row r="688" ht="15.75" customHeight="1" s="296"/>
    <row r="689" ht="15.75" customHeight="1" s="296"/>
    <row r="690" ht="15.75" customHeight="1" s="296"/>
    <row r="691" ht="15.75" customHeight="1" s="296"/>
    <row r="692" ht="15.75" customHeight="1" s="296"/>
    <row r="693" ht="15.75" customHeight="1" s="296"/>
    <row r="694" ht="15.75" customHeight="1" s="296"/>
    <row r="695" ht="15.75" customHeight="1" s="296"/>
    <row r="696" ht="15.75" customHeight="1" s="296"/>
    <row r="697" ht="15.75" customHeight="1" s="296"/>
    <row r="698" ht="15.75" customHeight="1" s="296"/>
    <row r="699" ht="15.75" customHeight="1" s="296"/>
    <row r="700" ht="15.75" customHeight="1" s="296"/>
    <row r="701" ht="15.75" customHeight="1" s="296"/>
    <row r="702" ht="15.75" customHeight="1" s="296"/>
    <row r="703" ht="15.75" customHeight="1" s="296"/>
    <row r="704" ht="15.75" customHeight="1" s="296"/>
    <row r="705" ht="15.75" customHeight="1" s="296"/>
    <row r="706" ht="15.75" customHeight="1" s="296"/>
    <row r="707" ht="15.75" customHeight="1" s="296"/>
    <row r="708" ht="15.75" customHeight="1" s="296"/>
    <row r="709" ht="15.75" customHeight="1" s="296"/>
    <row r="710" ht="15.75" customHeight="1" s="296"/>
    <row r="711" ht="15.75" customHeight="1" s="296"/>
    <row r="712" ht="15.75" customHeight="1" s="296"/>
    <row r="713" ht="15.75" customHeight="1" s="296"/>
    <row r="714" ht="15.75" customHeight="1" s="296"/>
    <row r="715" ht="15.75" customHeight="1" s="296"/>
    <row r="716" ht="15.75" customHeight="1" s="296"/>
    <row r="717" ht="15.75" customHeight="1" s="296"/>
    <row r="718" ht="15.75" customHeight="1" s="296"/>
    <row r="719" ht="15.75" customHeight="1" s="296"/>
    <row r="720" ht="15.75" customHeight="1" s="296"/>
    <row r="721" ht="15.75" customHeight="1" s="296"/>
    <row r="722" ht="15.75" customHeight="1" s="296"/>
    <row r="723" ht="15.75" customHeight="1" s="296"/>
    <row r="724" ht="15.75" customHeight="1" s="296"/>
    <row r="725" ht="15.75" customHeight="1" s="296"/>
    <row r="726" ht="15.75" customHeight="1" s="296"/>
    <row r="727" ht="15.75" customHeight="1" s="296"/>
    <row r="728" ht="15.75" customHeight="1" s="296"/>
    <row r="729" ht="15.75" customHeight="1" s="296"/>
    <row r="730" ht="15.75" customHeight="1" s="296"/>
    <row r="731" ht="15.75" customHeight="1" s="296"/>
    <row r="732" ht="15.75" customHeight="1" s="296"/>
    <row r="733" ht="15.75" customHeight="1" s="296"/>
    <row r="734" ht="15.75" customHeight="1" s="296"/>
    <row r="735" ht="15.75" customHeight="1" s="296"/>
    <row r="736" ht="15.75" customHeight="1" s="296"/>
    <row r="737" ht="15.75" customHeight="1" s="296"/>
    <row r="738" ht="15.75" customHeight="1" s="296"/>
    <row r="739" ht="15.75" customHeight="1" s="296"/>
    <row r="740" ht="15.75" customHeight="1" s="296"/>
    <row r="741" ht="15.75" customHeight="1" s="296"/>
    <row r="742" ht="15.75" customHeight="1" s="296"/>
    <row r="743" ht="15.75" customHeight="1" s="296"/>
    <row r="744" ht="15.75" customHeight="1" s="296"/>
    <row r="745" ht="15.75" customHeight="1" s="296"/>
    <row r="746" ht="15.75" customHeight="1" s="296"/>
    <row r="747" ht="15.75" customHeight="1" s="296"/>
    <row r="748" ht="15.75" customHeight="1" s="296"/>
    <row r="749" ht="15.75" customHeight="1" s="296"/>
    <row r="750" ht="15.75" customHeight="1" s="296"/>
    <row r="751" ht="15.75" customHeight="1" s="296"/>
    <row r="752" ht="15.75" customHeight="1" s="296"/>
    <row r="753" ht="15.75" customHeight="1" s="296"/>
    <row r="754" ht="15.75" customHeight="1" s="296"/>
    <row r="755" ht="15.75" customHeight="1" s="296"/>
    <row r="756" ht="15.75" customHeight="1" s="296"/>
    <row r="757" ht="15.75" customHeight="1" s="296"/>
    <row r="758" ht="15.75" customHeight="1" s="296"/>
    <row r="759" ht="15.75" customHeight="1" s="296"/>
    <row r="760" ht="15.75" customHeight="1" s="296"/>
    <row r="761" ht="15.75" customHeight="1" s="296"/>
    <row r="762" ht="15.75" customHeight="1" s="296"/>
    <row r="763" ht="15.75" customHeight="1" s="296"/>
    <row r="764" ht="15.75" customHeight="1" s="296"/>
    <row r="765" ht="15.75" customHeight="1" s="296"/>
    <row r="766" ht="15.75" customHeight="1" s="296"/>
    <row r="767" ht="15.75" customHeight="1" s="296"/>
    <row r="768" ht="15.75" customHeight="1" s="296"/>
    <row r="769" ht="15.75" customHeight="1" s="296"/>
    <row r="770" ht="15.75" customHeight="1" s="296"/>
    <row r="771" ht="15.75" customHeight="1" s="296"/>
    <row r="772" ht="15.75" customHeight="1" s="296"/>
    <row r="773" ht="15.75" customHeight="1" s="296"/>
    <row r="774" ht="15.75" customHeight="1" s="296"/>
    <row r="775" ht="15.75" customHeight="1" s="296"/>
    <row r="776" ht="15.75" customHeight="1" s="296"/>
    <row r="777" ht="15.75" customHeight="1" s="296"/>
    <row r="778" ht="15.75" customHeight="1" s="296"/>
    <row r="779" ht="15.75" customHeight="1" s="296"/>
    <row r="780" ht="15.75" customHeight="1" s="296"/>
    <row r="781" ht="15.75" customHeight="1" s="296"/>
    <row r="782" ht="15.75" customHeight="1" s="296"/>
    <row r="783" ht="15.75" customHeight="1" s="296"/>
    <row r="784" ht="15.75" customHeight="1" s="296"/>
    <row r="785" ht="15.75" customHeight="1" s="296"/>
    <row r="786" ht="15.75" customHeight="1" s="296"/>
    <row r="787" ht="15.75" customHeight="1" s="296"/>
    <row r="788" ht="15.75" customHeight="1" s="296"/>
    <row r="789" ht="15.75" customHeight="1" s="296"/>
    <row r="790" ht="15.75" customHeight="1" s="296"/>
    <row r="791" ht="15.75" customHeight="1" s="296"/>
    <row r="792" ht="15.75" customHeight="1" s="296"/>
    <row r="793" ht="15.75" customHeight="1" s="296"/>
    <row r="794" ht="15.75" customHeight="1" s="296"/>
    <row r="795" ht="15.75" customHeight="1" s="296"/>
    <row r="796" ht="15.75" customHeight="1" s="296"/>
    <row r="797" ht="15.75" customHeight="1" s="296"/>
    <row r="798" ht="15.75" customHeight="1" s="296"/>
    <row r="799" ht="15.75" customHeight="1" s="296"/>
    <row r="800" ht="15.75" customHeight="1" s="296"/>
    <row r="801" ht="15.75" customHeight="1" s="296"/>
    <row r="802" ht="15.75" customHeight="1" s="296"/>
    <row r="803" ht="15.75" customHeight="1" s="296"/>
    <row r="804" ht="15.75" customHeight="1" s="296"/>
    <row r="805" ht="15.75" customHeight="1" s="296"/>
    <row r="806" ht="15.75" customHeight="1" s="296"/>
    <row r="807" ht="15.75" customHeight="1" s="296"/>
    <row r="808" ht="15.75" customHeight="1" s="296"/>
    <row r="809" ht="15.75" customHeight="1" s="296"/>
    <row r="810" ht="15.75" customHeight="1" s="296"/>
    <row r="811" ht="15.75" customHeight="1" s="296"/>
    <row r="812" ht="15.75" customHeight="1" s="296"/>
    <row r="813" ht="15.75" customHeight="1" s="296"/>
    <row r="814" ht="15.75" customHeight="1" s="296"/>
    <row r="815" ht="15.75" customHeight="1" s="296"/>
    <row r="816" ht="15.75" customHeight="1" s="296"/>
    <row r="817" ht="15.75" customHeight="1" s="296"/>
    <row r="818" ht="15.75" customHeight="1" s="296"/>
    <row r="819" ht="15.75" customHeight="1" s="296"/>
    <row r="820" ht="15.75" customHeight="1" s="296"/>
    <row r="821" ht="15.75" customHeight="1" s="296"/>
    <row r="822" ht="15.75" customHeight="1" s="296"/>
    <row r="823" ht="15.75" customHeight="1" s="296"/>
    <row r="824" ht="15.75" customHeight="1" s="296"/>
    <row r="825" ht="15.75" customHeight="1" s="296"/>
    <row r="826" ht="15.75" customHeight="1" s="296"/>
    <row r="827" ht="15.75" customHeight="1" s="296"/>
    <row r="828" ht="15.75" customHeight="1" s="296"/>
    <row r="829" ht="15.75" customHeight="1" s="296"/>
    <row r="830" ht="15.75" customHeight="1" s="296"/>
    <row r="831" ht="15.75" customHeight="1" s="296"/>
    <row r="832" ht="15.75" customHeight="1" s="296"/>
    <row r="833" ht="15.75" customHeight="1" s="296"/>
    <row r="834" ht="15.75" customHeight="1" s="296"/>
    <row r="835" ht="15.75" customHeight="1" s="296"/>
    <row r="836" ht="15.75" customHeight="1" s="296"/>
    <row r="837" ht="15.75" customHeight="1" s="296"/>
    <row r="838" ht="15.75" customHeight="1" s="296"/>
    <row r="839" ht="15.75" customHeight="1" s="296"/>
    <row r="840" ht="15.75" customHeight="1" s="296"/>
    <row r="841" ht="15.75" customHeight="1" s="296"/>
    <row r="842" ht="15.75" customHeight="1" s="296"/>
    <row r="843" ht="15.75" customHeight="1" s="296"/>
    <row r="844" ht="15.75" customHeight="1" s="296"/>
    <row r="845" ht="15.75" customHeight="1" s="296"/>
    <row r="846" ht="15.75" customHeight="1" s="296"/>
    <row r="847" ht="15.75" customHeight="1" s="296"/>
    <row r="848" ht="15.75" customHeight="1" s="296"/>
    <row r="849" ht="15.75" customHeight="1" s="296"/>
    <row r="850" ht="15.75" customHeight="1" s="296"/>
    <row r="851" ht="15.75" customHeight="1" s="296"/>
    <row r="852" ht="15.75" customHeight="1" s="296"/>
    <row r="853" ht="15.75" customHeight="1" s="296"/>
    <row r="854" ht="15.75" customHeight="1" s="296"/>
    <row r="855" ht="15.75" customHeight="1" s="296"/>
    <row r="856" ht="15.75" customHeight="1" s="296"/>
    <row r="857" ht="15.75" customHeight="1" s="296"/>
    <row r="858" ht="15.75" customHeight="1" s="296"/>
    <row r="859" ht="15.75" customHeight="1" s="296"/>
    <row r="860" ht="15.75" customHeight="1" s="296"/>
    <row r="861" ht="15.75" customHeight="1" s="296"/>
    <row r="862" ht="15.75" customHeight="1" s="296"/>
    <row r="863" ht="15.75" customHeight="1" s="296"/>
    <row r="864" ht="15.75" customHeight="1" s="296"/>
    <row r="865" ht="15.75" customHeight="1" s="296"/>
    <row r="866" ht="15.75" customHeight="1" s="296"/>
    <row r="867" ht="15.75" customHeight="1" s="296"/>
    <row r="868" ht="15.75" customHeight="1" s="296"/>
    <row r="869" ht="15.75" customHeight="1" s="296"/>
    <row r="870" ht="15.75" customHeight="1" s="296"/>
    <row r="871" ht="15.75" customHeight="1" s="296"/>
    <row r="872" ht="15.75" customHeight="1" s="296"/>
    <row r="873" ht="15.75" customHeight="1" s="296"/>
    <row r="874" ht="15.75" customHeight="1" s="296"/>
    <row r="875" ht="15.75" customHeight="1" s="296"/>
    <row r="876" ht="15.75" customHeight="1" s="296"/>
    <row r="877" ht="15.75" customHeight="1" s="296"/>
    <row r="878" ht="15.75" customHeight="1" s="296"/>
    <row r="879" ht="15.75" customHeight="1" s="296"/>
    <row r="880" ht="15.75" customHeight="1" s="296"/>
    <row r="881" ht="15.75" customHeight="1" s="296"/>
    <row r="882" ht="15.75" customHeight="1" s="296"/>
    <row r="883" ht="15.75" customHeight="1" s="296"/>
    <row r="884" ht="15.75" customHeight="1" s="296"/>
    <row r="885" ht="15.75" customHeight="1" s="296"/>
    <row r="886" ht="15.75" customHeight="1" s="296"/>
    <row r="887" ht="15.75" customHeight="1" s="296"/>
    <row r="888" ht="15.75" customHeight="1" s="296"/>
    <row r="889" ht="15.75" customHeight="1" s="296"/>
    <row r="890" ht="15.75" customHeight="1" s="296"/>
    <row r="891" ht="15.75" customHeight="1" s="296"/>
    <row r="892" ht="15.75" customHeight="1" s="296"/>
    <row r="893" ht="15.75" customHeight="1" s="296"/>
    <row r="894" ht="15.75" customHeight="1" s="296"/>
    <row r="895" ht="15.75" customHeight="1" s="296"/>
    <row r="896" ht="15.75" customHeight="1" s="296"/>
    <row r="897" ht="15.75" customHeight="1" s="296"/>
    <row r="898" ht="15.75" customHeight="1" s="296"/>
    <row r="899" ht="15.75" customHeight="1" s="296"/>
    <row r="900" ht="15.75" customHeight="1" s="296"/>
    <row r="901" ht="15.75" customHeight="1" s="296"/>
    <row r="902" ht="15.75" customHeight="1" s="296"/>
    <row r="903" ht="15.75" customHeight="1" s="296"/>
    <row r="904" ht="15.75" customHeight="1" s="296"/>
    <row r="905" ht="15.75" customHeight="1" s="296"/>
    <row r="906" ht="15.75" customHeight="1" s="296"/>
    <row r="907" ht="15.75" customHeight="1" s="296"/>
    <row r="908" ht="15.75" customHeight="1" s="296"/>
    <row r="909" ht="15.75" customHeight="1" s="296"/>
    <row r="910" ht="15.75" customHeight="1" s="296"/>
    <row r="911" ht="15.75" customHeight="1" s="296"/>
    <row r="912" ht="15.75" customHeight="1" s="296"/>
    <row r="913" ht="15.75" customHeight="1" s="296"/>
    <row r="914" ht="15.75" customHeight="1" s="296"/>
    <row r="915" ht="15.75" customHeight="1" s="296"/>
    <row r="916" ht="15.75" customHeight="1" s="296"/>
    <row r="917" ht="15.75" customHeight="1" s="296"/>
    <row r="918" ht="15.75" customHeight="1" s="296"/>
    <row r="919" ht="15.75" customHeight="1" s="296"/>
    <row r="920" ht="15.75" customHeight="1" s="296"/>
    <row r="921" ht="15.75" customHeight="1" s="296"/>
    <row r="922" ht="15.75" customHeight="1" s="296"/>
    <row r="923" ht="15.75" customHeight="1" s="296"/>
    <row r="924" ht="15.75" customHeight="1" s="296"/>
    <row r="925" ht="15.75" customHeight="1" s="296"/>
    <row r="926" ht="15.75" customHeight="1" s="296"/>
    <row r="927" ht="15.75" customHeight="1" s="296"/>
    <row r="928" ht="15.75" customHeight="1" s="296"/>
    <row r="929" ht="15.75" customHeight="1" s="296"/>
    <row r="930" ht="15.75" customHeight="1" s="296"/>
    <row r="931" ht="15.75" customHeight="1" s="296"/>
    <row r="932" ht="15.75" customHeight="1" s="296"/>
    <row r="933" ht="15.75" customHeight="1" s="296"/>
    <row r="934" ht="15.75" customHeight="1" s="296"/>
    <row r="935" ht="15.75" customHeight="1" s="296"/>
    <row r="936" ht="15.75" customHeight="1" s="296"/>
    <row r="937" ht="15.75" customHeight="1" s="296"/>
    <row r="938" ht="15.75" customHeight="1" s="296"/>
    <row r="939" ht="15.75" customHeight="1" s="296"/>
    <row r="940" ht="15.75" customHeight="1" s="296"/>
    <row r="941" ht="15.75" customHeight="1" s="296"/>
    <row r="942" ht="15.75" customHeight="1" s="296"/>
    <row r="943" ht="15.75" customHeight="1" s="296"/>
    <row r="944" ht="15.75" customHeight="1" s="296"/>
    <row r="945" ht="15.75" customHeight="1" s="296"/>
    <row r="946" ht="15.75" customHeight="1" s="296"/>
    <row r="947" ht="15.75" customHeight="1" s="296"/>
    <row r="948" ht="15.75" customHeight="1" s="296"/>
    <row r="949" ht="15.75" customHeight="1" s="296"/>
    <row r="950" ht="15.75" customHeight="1" s="296"/>
    <row r="951" ht="15.75" customHeight="1" s="296"/>
    <row r="952" ht="15.75" customHeight="1" s="296"/>
    <row r="953" ht="15.75" customHeight="1" s="296"/>
    <row r="954" ht="15.75" customHeight="1" s="296"/>
    <row r="955" ht="15.75" customHeight="1" s="296"/>
    <row r="956" ht="15.75" customHeight="1" s="296"/>
    <row r="957" ht="15.75" customHeight="1" s="296"/>
    <row r="958" ht="15.75" customHeight="1" s="296"/>
    <row r="959" ht="15.75" customHeight="1" s="296"/>
    <row r="960" ht="15.75" customHeight="1" s="296"/>
    <row r="961" ht="15.75" customHeight="1" s="296"/>
    <row r="962" ht="15.75" customHeight="1" s="296"/>
    <row r="963" ht="15.75" customHeight="1" s="296"/>
    <row r="964" ht="15.75" customHeight="1" s="296"/>
    <row r="965" ht="15.75" customHeight="1" s="296"/>
    <row r="966" ht="15.75" customHeight="1" s="296"/>
    <row r="967" ht="15.75" customHeight="1" s="296"/>
    <row r="968" ht="15.75" customHeight="1" s="296"/>
    <row r="969" ht="15.75" customHeight="1" s="296"/>
    <row r="970" ht="15.75" customHeight="1" s="296"/>
    <row r="971" ht="15.75" customHeight="1" s="296"/>
    <row r="972" ht="15.75" customHeight="1" s="296"/>
    <row r="973" ht="15.75" customHeight="1" s="296"/>
    <row r="974" ht="15.75" customHeight="1" s="296"/>
    <row r="975" ht="15.75" customHeight="1" s="296"/>
    <row r="976" ht="15.75" customHeight="1" s="296"/>
    <row r="977" ht="15.75" customHeight="1" s="296"/>
    <row r="978" ht="15.75" customHeight="1" s="296"/>
    <row r="979" ht="15.75" customHeight="1" s="296"/>
    <row r="980" ht="15.75" customHeight="1" s="296"/>
    <row r="981" ht="15.75" customHeight="1" s="296"/>
    <row r="982" ht="15.75" customHeight="1" s="296"/>
    <row r="983" ht="15.75" customHeight="1" s="296"/>
    <row r="984" ht="15.75" customHeight="1" s="296"/>
    <row r="985" ht="15.75" customHeight="1" s="296"/>
    <row r="986" ht="15.75" customHeight="1" s="296"/>
    <row r="987" ht="15.75" customHeight="1" s="296"/>
    <row r="988" ht="15.75" customHeight="1" s="296"/>
    <row r="989" ht="15.75" customHeight="1" s="296"/>
    <row r="990" ht="15.75" customHeight="1" s="296"/>
    <row r="991" ht="15.75" customHeight="1" s="296"/>
    <row r="992" ht="15.75" customHeight="1" s="296"/>
    <row r="993" ht="15.75" customHeight="1" s="296"/>
    <row r="994" ht="15.75" customHeight="1" s="296"/>
    <row r="995" ht="15.75" customHeight="1" s="296"/>
    <row r="996" ht="15.75" customHeight="1" s="296"/>
    <row r="997" ht="15.75" customHeight="1" s="296"/>
    <row r="998" ht="15.75" customHeight="1" s="296"/>
    <row r="999" ht="15.75" customHeight="1" s="296"/>
    <row r="1000" ht="15.75" customHeight="1" s="296"/>
  </sheetData>
  <mergeCells count="118">
    <mergeCell ref="K14:N14"/>
    <mergeCell ref="K48:N48"/>
    <mergeCell ref="Q86:T86"/>
    <mergeCell ref="W48:Z48"/>
    <mergeCell ref="D100:W100"/>
    <mergeCell ref="Q95:T95"/>
    <mergeCell ref="K7:N7"/>
    <mergeCell ref="W29:Z29"/>
    <mergeCell ref="E97:H97"/>
    <mergeCell ref="L3:M3"/>
    <mergeCell ref="D31:W31"/>
    <mergeCell ref="K62:N62"/>
    <mergeCell ref="C4:Y4"/>
    <mergeCell ref="Q7:T7"/>
    <mergeCell ref="E62:H62"/>
    <mergeCell ref="Q62:T62"/>
    <mergeCell ref="E98:H98"/>
    <mergeCell ref="D66:Q66"/>
    <mergeCell ref="K88:N88"/>
    <mergeCell ref="K26:N26"/>
    <mergeCell ref="E88:H88"/>
    <mergeCell ref="E51:H51"/>
    <mergeCell ref="C36:D36"/>
    <mergeCell ref="W26:Z26"/>
    <mergeCell ref="Q51:T51"/>
    <mergeCell ref="K76:N76"/>
    <mergeCell ref="E63:H63"/>
    <mergeCell ref="W63:Z63"/>
    <mergeCell ref="Q88:T88"/>
    <mergeCell ref="W50:Z50"/>
    <mergeCell ref="Q26:T26"/>
    <mergeCell ref="Q63:T63"/>
    <mergeCell ref="L72:M72"/>
    <mergeCell ref="Q50:T50"/>
    <mergeCell ref="Z38:AC38"/>
    <mergeCell ref="K53:N53"/>
    <mergeCell ref="E85:H85"/>
    <mergeCell ref="Q17:T17"/>
    <mergeCell ref="W86:Z86"/>
    <mergeCell ref="Y102:AC102"/>
    <mergeCell ref="W14:Z14"/>
    <mergeCell ref="W28:Z28"/>
    <mergeCell ref="Q53:T53"/>
    <mergeCell ref="D32:K32"/>
    <mergeCell ref="K95:N95"/>
    <mergeCell ref="E14:H14"/>
    <mergeCell ref="E48:H48"/>
    <mergeCell ref="Q97:T97"/>
    <mergeCell ref="K51:N51"/>
    <mergeCell ref="W95:Z95"/>
    <mergeCell ref="Q29:T29"/>
    <mergeCell ref="W51:Z51"/>
    <mergeCell ref="K63:N63"/>
    <mergeCell ref="K41:N41"/>
    <mergeCell ref="K50:N50"/>
    <mergeCell ref="W41:Z41"/>
    <mergeCell ref="W97:Z97"/>
    <mergeCell ref="W16:Z16"/>
    <mergeCell ref="C38:Y38"/>
    <mergeCell ref="C5:AC5"/>
    <mergeCell ref="K98:N98"/>
    <mergeCell ref="D101:R101"/>
    <mergeCell ref="E26:H26"/>
    <mergeCell ref="K17:N17"/>
    <mergeCell ref="E16:H16"/>
    <mergeCell ref="W17:Z17"/>
    <mergeCell ref="E76:H76"/>
    <mergeCell ref="W60:Z60"/>
    <mergeCell ref="Q76:T76"/>
    <mergeCell ref="K19:N19"/>
    <mergeCell ref="K28:N28"/>
    <mergeCell ref="D65:W65"/>
    <mergeCell ref="W19:Z19"/>
    <mergeCell ref="E53:H53"/>
    <mergeCell ref="W53:Z53"/>
    <mergeCell ref="E50:H50"/>
    <mergeCell ref="K83:N83"/>
    <mergeCell ref="Y67:AC67"/>
    <mergeCell ref="Q28:T28"/>
    <mergeCell ref="Q83:T83"/>
    <mergeCell ref="K29:N29"/>
    <mergeCell ref="E29:H29"/>
    <mergeCell ref="Q14:T14"/>
    <mergeCell ref="Q85:T85"/>
    <mergeCell ref="W7:Z7"/>
    <mergeCell ref="E86:H86"/>
    <mergeCell ref="Z73:AC73"/>
    <mergeCell ref="E95:H95"/>
    <mergeCell ref="C74:AC74"/>
    <mergeCell ref="Q98:T98"/>
    <mergeCell ref="K97:N97"/>
    <mergeCell ref="Q48:T48"/>
    <mergeCell ref="E7:H7"/>
    <mergeCell ref="L37:M37"/>
    <mergeCell ref="E41:H41"/>
    <mergeCell ref="W98:Z98"/>
    <mergeCell ref="Q41:T41"/>
    <mergeCell ref="W88:Z88"/>
    <mergeCell ref="Q16:T16"/>
    <mergeCell ref="C73:Y73"/>
    <mergeCell ref="K16:N16"/>
    <mergeCell ref="W99:Z99"/>
    <mergeCell ref="C39:AC39"/>
    <mergeCell ref="E17:H17"/>
    <mergeCell ref="E83:H83"/>
    <mergeCell ref="W83:Z83"/>
    <mergeCell ref="K60:N60"/>
    <mergeCell ref="K85:N85"/>
    <mergeCell ref="E19:H19"/>
    <mergeCell ref="W76:Z76"/>
    <mergeCell ref="E28:H28"/>
    <mergeCell ref="W85:Z85"/>
    <mergeCell ref="Q19:T19"/>
    <mergeCell ref="E60:H60"/>
    <mergeCell ref="Y33:AC33"/>
    <mergeCell ref="Q60:T60"/>
    <mergeCell ref="W62:Z62"/>
    <mergeCell ref="K86:N86"/>
  </mergeCells>
  <pageMargins left="0" right="0" top="0" bottom="0" header="0" footer="0"/>
  <pageSetup orientation="landscape" paperSize="9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Stanislao Zama</dc:creator>
  <dcterms:created xmlns:dcterms="http://purl.org/dc/terms/" xmlns:xsi="http://www.w3.org/2001/XMLSchema-instance" xsi:type="dcterms:W3CDTF">2019-05-04T20:25:25Z</dcterms:created>
  <dcterms:modified xmlns:dcterms="http://purl.org/dc/terms/" xmlns:xsi="http://www.w3.org/2001/XMLSchema-instance" xsi:type="dcterms:W3CDTF">2026-04-16T10:14:20Z</dcterms:modified>
</cp:coreProperties>
</file>