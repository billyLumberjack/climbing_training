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6475" yWindow="0" windowWidth="26475" windowHeight="15600" tabRatio="600" firstSheet="10" autoFilterDateGrouping="1"/>
  </bookViews>
  <sheets>
    <sheet xmlns:r="http://schemas.openxmlformats.org/officeDocument/2006/relationships" name="Sospension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 Light"/>
      <charset val="1"/>
      <color rgb="FF000000"/>
      <sz val="11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6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0" applyAlignment="1" pivotButton="0" quotePrefix="0" xfId="0">
      <alignment horizontal="left" vertical="top"/>
    </xf>
    <xf numFmtId="0" fontId="38" fillId="0" borderId="0" applyAlignment="1" pivotButton="0" quotePrefix="0" xfId="0">
      <alignment horizontal="left" vertical="top" wrapText="1"/>
    </xf>
    <xf numFmtId="0" fontId="38" fillId="0" borderId="0" applyAlignment="1" pivotButton="0" quotePrefix="0" xfId="0">
      <alignment horizontal="left" vertical="top"/>
    </xf>
    <xf numFmtId="0" fontId="38" fillId="0" borderId="0" applyAlignment="1" pivotButton="0" quotePrefix="1" xfId="0">
      <alignment horizontal="left" vertical="top"/>
    </xf>
    <xf numFmtId="0" fontId="38" fillId="0" borderId="0" applyAlignment="1" pivotButton="0" quotePrefix="0" xfId="3">
      <alignment horizontal="left" vertical="top"/>
    </xf>
    <xf numFmtId="0" fontId="37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0" fontId="38" fillId="18" borderId="0" applyAlignment="1" pivotButton="0" quotePrefix="0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19" borderId="17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1" applyAlignment="1" pivotButton="0" quotePrefix="0" xfId="0">
      <alignment horizontal="center" vertical="center" wrapText="1"/>
    </xf>
    <xf numFmtId="0" fontId="39" fillId="0" borderId="0" pivotButton="0" quotePrefix="0" xfId="0"/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0" fillId="0" borderId="35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10</col>
      <colOff>221660</colOff>
      <row>3</row>
      <rowOff>33867</rowOff>
    </from>
    <to>
      <col>13</col>
      <colOff>226695</colOff>
      <row>3</row>
      <rowOff>474134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210" b="25595"/>
        <a:stretch xmlns:a="http://schemas.openxmlformats.org/drawingml/2006/main">
          <a:fillRect/>
        </a:stretch>
      </blipFill>
      <spPr>
        <a:xfrm xmlns:a="http://schemas.openxmlformats.org/drawingml/2006/main">
          <a:off x="6190660" y="609600"/>
          <a:ext cx="1275035" cy="440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234995</colOff>
      <row>39</row>
      <rowOff>27709</rowOff>
    </from>
    <to>
      <col>13</col>
      <colOff>243840</colOff>
      <row>39</row>
      <rowOff>473652</rowOff>
    </to>
    <pic>
      <nvPicPr>
        <cNvPr id="7" name="Immagin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17343" b="26651"/>
        <a:stretch xmlns:a="http://schemas.openxmlformats.org/drawingml/2006/main">
          <a:fillRect/>
        </a:stretch>
      </blipFill>
      <spPr>
        <a:xfrm xmlns:a="http://schemas.openxmlformats.org/drawingml/2006/main">
          <a:off x="5215704" y="7474527"/>
          <a:ext cx="1297318" cy="4364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217850</colOff>
      <row>74</row>
      <rowOff>20782</rowOff>
    </from>
    <to>
      <col>13</col>
      <colOff>211455</colOff>
      <row>74</row>
      <rowOff>478675</rowOff>
    </to>
    <pic>
      <nvPicPr>
        <cNvPr id="8" name="Immagine 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t="14959" b="27026"/>
        <a:stretch xmlns:a="http://schemas.openxmlformats.org/drawingml/2006/main">
          <a:fillRect/>
        </a:stretch>
      </blipFill>
      <spPr>
        <a:xfrm xmlns:a="http://schemas.openxmlformats.org/drawingml/2006/main">
          <a:off x="5198559" y="14706600"/>
          <a:ext cx="1282078" cy="4502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/>
  </sheetPr>
  <dimension ref="C3:AI103"/>
  <sheetViews>
    <sheetView zoomScale="90" zoomScaleNormal="90" workbookViewId="0">
      <selection activeCell="W9" sqref="W9:Z13"/>
    </sheetView>
  </sheetViews>
  <sheetFormatPr baseColWidth="8" defaultColWidth="9.140625" defaultRowHeight="15"/>
  <cols>
    <col width="4" customWidth="1" min="3" max="3"/>
    <col width="25.7109375" bestFit="1" customWidth="1" min="4" max="4"/>
    <col width="6.28515625" customWidth="1" min="5" max="8"/>
    <col hidden="1" outlineLevel="1" width="6.28515625" customWidth="1" min="9" max="9"/>
    <col hidden="1" outlineLevel="1" width="8.7109375" customWidth="1" min="10" max="10"/>
    <col collapsed="1" width="6.28515625" customWidth="1" min="11" max="11"/>
    <col width="6.28515625" customWidth="1" min="12" max="14"/>
    <col hidden="1" outlineLevel="1" width="6.28515625" customWidth="1" min="15" max="16"/>
    <col collapsed="1" width="6.28515625" customWidth="1" min="17" max="17"/>
    <col width="6.28515625" customWidth="1" min="18" max="20"/>
    <col hidden="1" outlineLevel="1" width="6.28515625" customWidth="1" min="21" max="22"/>
    <col collapsed="1" width="6.28515625" customWidth="1" min="23" max="23"/>
    <col width="6.28515625" customWidth="1" min="24" max="26"/>
    <col hidden="1" outlineLevel="1" width="6.28515625" customWidth="1" min="27" max="28"/>
    <col collapsed="1" width="4.85546875" customWidth="1" min="29" max="29"/>
    <col width="4.85546875" customWidth="1" min="30" max="32"/>
    <col width="22.85546875" customWidth="1" min="33" max="33"/>
    <col width="4.85546875" bestFit="1" customWidth="1" min="34" max="34"/>
    <col width="4.28515625" bestFit="1" customWidth="1" min="35" max="35"/>
    <col width="3.5703125" customWidth="1" min="36" max="36"/>
    <col width="17.28515625" bestFit="1" customWidth="1" min="37" max="37"/>
    <col width="4.7109375" customWidth="1" min="38" max="53"/>
    <col width="3.140625" customWidth="1" min="54" max="54"/>
  </cols>
  <sheetData>
    <row r="3" ht="15.75" customHeight="1" thickBot="1">
      <c r="C3" s="25" t="inlineStr">
        <is>
          <t>WEEK 1-4</t>
        </is>
      </c>
      <c r="D3" s="26" t="n"/>
      <c r="G3" s="27" t="n"/>
      <c r="H3" s="27" t="n"/>
      <c r="I3" s="141" t="n"/>
      <c r="J3" s="141" t="n"/>
      <c r="L3" s="320" t="inlineStr">
        <is>
          <t>ESTATE 2024</t>
        </is>
      </c>
      <c r="M3" s="9" t="n"/>
      <c r="N3" s="28" t="n"/>
      <c r="O3" s="28" t="n"/>
      <c r="P3" s="28" t="n"/>
      <c r="Q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348" t="inlineStr">
        <is>
          <t>SAMUELE MALAVASI</t>
        </is>
      </c>
      <c r="AG3" s="42" t="n"/>
      <c r="AH3" s="42" t="n"/>
      <c r="AI3" s="42" t="n"/>
    </row>
    <row r="4" ht="40.15" customHeight="1" thickBot="1" thickTop="1">
      <c r="C4" s="321" t="n"/>
      <c r="D4" s="357" t="n"/>
      <c r="E4" s="357" t="n"/>
      <c r="F4" s="357" t="n"/>
      <c r="G4" s="357" t="n"/>
      <c r="H4" s="357" t="n"/>
      <c r="I4" s="357" t="n"/>
      <c r="J4" s="357" t="n"/>
      <c r="K4" s="357" t="n"/>
      <c r="L4" s="357" t="n"/>
      <c r="M4" s="357" t="n"/>
      <c r="N4" s="357" t="n"/>
      <c r="O4" s="357" t="n"/>
      <c r="P4" s="357" t="n"/>
      <c r="Q4" s="357" t="n"/>
      <c r="R4" s="357" t="n"/>
      <c r="S4" s="357" t="n"/>
      <c r="T4" s="357" t="n"/>
      <c r="U4" s="357" t="n"/>
      <c r="V4" s="357" t="n"/>
      <c r="W4" s="357" t="n"/>
      <c r="X4" s="357" t="n"/>
      <c r="Y4" s="357" t="n"/>
      <c r="AA4" s="186" t="n"/>
      <c r="AB4" s="186" t="n"/>
      <c r="AC4" s="187" t="inlineStr">
        <is>
          <t xml:space="preserve">S M </t>
        </is>
      </c>
      <c r="AD4" s="7" t="n"/>
      <c r="AG4" s="44" t="n"/>
      <c r="AH4" s="44" t="n"/>
      <c r="AI4" s="44" t="n"/>
    </row>
    <row r="5" ht="18.6" customHeight="1" thickBot="1" thickTop="1">
      <c r="C5" s="358" t="inlineStr">
        <is>
          <t>2024_06_SOSPENSIONI</t>
        </is>
      </c>
      <c r="D5" s="357" t="n"/>
      <c r="E5" s="357" t="n"/>
      <c r="F5" s="357" t="n"/>
      <c r="G5" s="357" t="n"/>
      <c r="H5" s="357" t="n"/>
      <c r="I5" s="357" t="n"/>
      <c r="J5" s="357" t="n"/>
      <c r="K5" s="357" t="n"/>
      <c r="L5" s="357" t="n"/>
      <c r="M5" s="357" t="n"/>
      <c r="N5" s="357" t="n"/>
      <c r="O5" s="357" t="n"/>
      <c r="P5" s="357" t="n"/>
      <c r="Q5" s="357" t="n"/>
      <c r="R5" s="357" t="n"/>
      <c r="S5" s="357" t="n"/>
      <c r="T5" s="357" t="n"/>
      <c r="U5" s="357" t="n"/>
      <c r="V5" s="357" t="n"/>
      <c r="W5" s="357" t="n"/>
      <c r="X5" s="357" t="n"/>
      <c r="Y5" s="357" t="n"/>
      <c r="Z5" s="357" t="n"/>
      <c r="AA5" s="357" t="n"/>
      <c r="AB5" s="357" t="n"/>
      <c r="AC5" s="359" t="n"/>
    </row>
    <row r="6" ht="14.45" customHeight="1" thickTop="1">
      <c r="C6" s="75" t="n"/>
      <c r="D6" s="76" t="n"/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7" t="n"/>
      <c r="AG6" s="42" t="n"/>
      <c r="AH6" s="42" t="n"/>
      <c r="AI6" s="42" t="n"/>
    </row>
    <row r="7">
      <c r="C7" s="78" t="n"/>
      <c r="D7" s="25" t="inlineStr">
        <is>
          <t>FORZA</t>
        </is>
      </c>
      <c r="E7" s="308" t="inlineStr">
        <is>
          <t>Wk 1</t>
        </is>
      </c>
      <c r="H7" s="360" t="n"/>
      <c r="I7" s="308" t="n"/>
      <c r="J7" s="308" t="n"/>
      <c r="K7" s="308" t="inlineStr">
        <is>
          <t>Wk 2</t>
        </is>
      </c>
      <c r="N7" s="360" t="n"/>
      <c r="O7" s="308" t="n"/>
      <c r="P7" s="308" t="n"/>
      <c r="Q7" s="308" t="inlineStr">
        <is>
          <t>Wk 3</t>
        </is>
      </c>
      <c r="T7" s="360" t="n"/>
      <c r="U7" s="308" t="n"/>
      <c r="V7" s="308" t="n"/>
      <c r="W7" s="308" t="inlineStr">
        <is>
          <t>Wk 4</t>
        </is>
      </c>
      <c r="Z7" s="360" t="n"/>
      <c r="AA7" s="307" t="n"/>
      <c r="AB7" s="307" t="n"/>
      <c r="AC7" s="33" t="n"/>
    </row>
    <row r="8">
      <c r="C8" s="78" t="n"/>
      <c r="D8" s="74" t="inlineStr">
        <is>
          <t>Esercizio</t>
        </is>
      </c>
      <c r="E8" s="95" t="inlineStr">
        <is>
          <t>TEMPO</t>
        </is>
      </c>
      <c r="F8" s="34" t="inlineStr">
        <is>
          <t>REP</t>
        </is>
      </c>
      <c r="G8" s="95" t="inlineStr">
        <is>
          <t>SET</t>
        </is>
      </c>
      <c r="H8" s="73" t="inlineStr">
        <is>
          <t>CARICO</t>
        </is>
      </c>
      <c r="I8" s="140" t="inlineStr">
        <is>
          <t>Rest</t>
        </is>
      </c>
      <c r="J8" s="140" t="inlineStr">
        <is>
          <t>TUT es</t>
        </is>
      </c>
      <c r="K8" s="95" t="inlineStr">
        <is>
          <t>TEMPO</t>
        </is>
      </c>
      <c r="L8" s="34" t="inlineStr">
        <is>
          <t>REP</t>
        </is>
      </c>
      <c r="M8" s="95" t="inlineStr">
        <is>
          <t>SET</t>
        </is>
      </c>
      <c r="N8" s="73" t="inlineStr">
        <is>
          <t>CARICO</t>
        </is>
      </c>
      <c r="O8" s="140" t="inlineStr">
        <is>
          <t>Rest</t>
        </is>
      </c>
      <c r="P8" s="140" t="inlineStr">
        <is>
          <t>TUT es</t>
        </is>
      </c>
      <c r="Q8" s="95" t="inlineStr">
        <is>
          <t>TEMPO</t>
        </is>
      </c>
      <c r="R8" s="34" t="inlineStr">
        <is>
          <t>REP</t>
        </is>
      </c>
      <c r="S8" s="95" t="inlineStr">
        <is>
          <t>SET</t>
        </is>
      </c>
      <c r="T8" s="73" t="inlineStr">
        <is>
          <t>CARICO</t>
        </is>
      </c>
      <c r="U8" s="140" t="inlineStr">
        <is>
          <t>Rest</t>
        </is>
      </c>
      <c r="V8" s="140" t="inlineStr">
        <is>
          <t>TUT es</t>
        </is>
      </c>
      <c r="W8" s="95" t="inlineStr">
        <is>
          <t>TEMPO</t>
        </is>
      </c>
      <c r="X8" s="34" t="inlineStr">
        <is>
          <t>REP</t>
        </is>
      </c>
      <c r="Y8" s="95" t="inlineStr">
        <is>
          <t>SET</t>
        </is>
      </c>
      <c r="Z8" s="73" t="inlineStr">
        <is>
          <t>CARICO</t>
        </is>
      </c>
      <c r="AA8" s="140" t="inlineStr">
        <is>
          <t>Rest</t>
        </is>
      </c>
      <c r="AB8" s="140" t="inlineStr">
        <is>
          <t>TUT es</t>
        </is>
      </c>
      <c r="AC8" s="33" t="n"/>
    </row>
    <row r="9" ht="16.15" customHeight="1">
      <c r="C9" s="78" t="n"/>
      <c r="D9" s="79" t="inlineStr">
        <is>
          <t>Stacco da terra 20mm</t>
        </is>
      </c>
      <c r="E9" s="94" t="inlineStr">
        <is>
          <t>X</t>
        </is>
      </c>
      <c r="F9" s="35" t="n">
        <v>1</v>
      </c>
      <c r="G9" s="94" t="n">
        <v>1</v>
      </c>
      <c r="H9" s="244" t="inlineStr">
        <is>
          <t>RPE6</t>
        </is>
      </c>
      <c r="I9" s="310" t="n"/>
      <c r="J9" s="310">
        <f>(E9*F9)+(F9*I9)</f>
        <v/>
      </c>
      <c r="K9" s="94" t="inlineStr">
        <is>
          <t>X</t>
        </is>
      </c>
      <c r="L9" s="35" t="n">
        <v>1</v>
      </c>
      <c r="M9" s="94" t="n">
        <v>1</v>
      </c>
      <c r="N9" s="244" t="inlineStr">
        <is>
          <t>RPE7</t>
        </is>
      </c>
      <c r="O9">
        <f>$I9</f>
        <v/>
      </c>
      <c r="P9" s="310">
        <f>(K9*L9)+(L9*O9)</f>
        <v/>
      </c>
      <c r="Q9" s="94" t="inlineStr">
        <is>
          <t>X</t>
        </is>
      </c>
      <c r="R9" s="35" t="n">
        <v>1</v>
      </c>
      <c r="S9" s="94" t="n">
        <v>1</v>
      </c>
      <c r="T9" s="244" t="inlineStr">
        <is>
          <t>RPE8</t>
        </is>
      </c>
      <c r="U9">
        <f>$I9</f>
        <v/>
      </c>
      <c r="V9" s="310">
        <f>(Q9*R9)+(R9*U9)</f>
        <v/>
      </c>
      <c r="W9" s="94" t="inlineStr">
        <is>
          <t>X</t>
        </is>
      </c>
      <c r="X9" s="35" t="inlineStr">
        <is>
          <t>AMRAP</t>
        </is>
      </c>
      <c r="Y9" s="94" t="n">
        <v>1</v>
      </c>
      <c r="Z9" s="244" t="inlineStr">
        <is>
          <t>Test 8RM: 39</t>
        </is>
      </c>
      <c r="AA9">
        <f>$I9</f>
        <v/>
      </c>
      <c r="AB9" s="310">
        <f>(W9*X9)+(X9*AA9)</f>
        <v/>
      </c>
      <c r="AC9" s="33" t="n"/>
      <c r="AD9" s="25" t="n"/>
      <c r="AE9" s="25" t="n"/>
      <c r="AF9" s="25" t="n"/>
    </row>
    <row r="10" ht="16.15" customHeight="1">
      <c r="C10" s="78" t="n"/>
      <c r="D10" s="79" t="n"/>
      <c r="E10" s="94" t="inlineStr">
        <is>
          <t>X</t>
        </is>
      </c>
      <c r="F10" s="35" t="n">
        <v>5</v>
      </c>
      <c r="G10" s="94" t="n">
        <v>3</v>
      </c>
      <c r="H10" s="244" t="inlineStr">
        <is>
          <t>75-80%</t>
        </is>
      </c>
      <c r="I10" s="310" t="n"/>
      <c r="J10" s="310" t="n"/>
      <c r="K10" s="94" t="inlineStr">
        <is>
          <t>X</t>
        </is>
      </c>
      <c r="L10" s="35" t="n">
        <v>6</v>
      </c>
      <c r="M10" s="94" t="n">
        <v>3</v>
      </c>
      <c r="N10" s="244" t="inlineStr">
        <is>
          <t>75-80%</t>
        </is>
      </c>
      <c r="P10" s="310" t="n"/>
      <c r="Q10" s="94" t="inlineStr">
        <is>
          <t>X</t>
        </is>
      </c>
      <c r="R10" s="35" t="n">
        <v>7</v>
      </c>
      <c r="S10" s="94" t="n">
        <v>3</v>
      </c>
      <c r="T10" s="244" t="inlineStr">
        <is>
          <t>75-80%</t>
        </is>
      </c>
      <c r="V10" s="310" t="n"/>
      <c r="W10" s="94" t="n"/>
      <c r="X10" s="35" t="n"/>
      <c r="Y10" s="94" t="n"/>
      <c r="Z10" s="148" t="n"/>
      <c r="AB10" s="310" t="n"/>
      <c r="AC10" s="33" t="n"/>
      <c r="AD10" s="25" t="n"/>
      <c r="AE10" s="25" t="n"/>
      <c r="AF10" s="25" t="n"/>
    </row>
    <row r="11">
      <c r="C11" s="78" t="n"/>
      <c r="D11" s="144" t="inlineStr">
        <is>
          <t>Sospensioni 3 dita stese</t>
        </is>
      </c>
      <c r="E11" s="145" t="n">
        <v>4</v>
      </c>
      <c r="F11" s="145" t="n">
        <v>4</v>
      </c>
      <c r="G11" s="145" t="n">
        <v>2</v>
      </c>
      <c r="H11" s="151" t="n"/>
      <c r="I11" s="147" t="n"/>
      <c r="J11" s="147">
        <f>(E11*F11)+(F11*I11)</f>
        <v/>
      </c>
      <c r="K11" s="145" t="n">
        <v>4</v>
      </c>
      <c r="L11" s="145" t="n">
        <v>4</v>
      </c>
      <c r="M11" s="145" t="n">
        <v>3</v>
      </c>
      <c r="N11" s="151" t="n"/>
      <c r="O11" s="150">
        <f>$I11</f>
        <v/>
      </c>
      <c r="P11" s="147">
        <f>(K11*L11)+(L11*O11)</f>
        <v/>
      </c>
      <c r="Q11" s="145" t="n">
        <v>4</v>
      </c>
      <c r="R11" s="145" t="n">
        <v>4</v>
      </c>
      <c r="S11" s="145" t="n">
        <v>3</v>
      </c>
      <c r="T11" s="151" t="n"/>
      <c r="U11" s="150">
        <f>$I11</f>
        <v/>
      </c>
      <c r="V11" s="147">
        <f>(Q11*R11)+(R11*U11)</f>
        <v/>
      </c>
      <c r="W11" s="145" t="n">
        <v>4</v>
      </c>
      <c r="X11" s="145" t="n">
        <v>4</v>
      </c>
      <c r="Y11" s="145" t="n">
        <v>2</v>
      </c>
      <c r="Z11" s="151" t="n"/>
      <c r="AA11" s="150">
        <f>$I11</f>
        <v/>
      </c>
      <c r="AB11" s="147">
        <f>(W11*X11)+(X11*AA11)</f>
        <v/>
      </c>
      <c r="AC11" s="33" t="n"/>
      <c r="AD11" s="7" t="n"/>
    </row>
    <row r="12">
      <c r="C12" s="78" t="n"/>
      <c r="D12" s="79" t="inlineStr">
        <is>
          <t>Sospensioni svase</t>
        </is>
      </c>
      <c r="E12" s="310" t="n">
        <v>5</v>
      </c>
      <c r="F12" s="94" t="n">
        <v>3</v>
      </c>
      <c r="G12" s="94" t="n">
        <v>2</v>
      </c>
      <c r="H12" s="148" t="n"/>
      <c r="I12" s="310" t="n"/>
      <c r="J12" s="310">
        <f>(E12*F12)+(F12*I12)</f>
        <v/>
      </c>
      <c r="K12" s="310" t="n">
        <v>5</v>
      </c>
      <c r="L12" s="94" t="n">
        <v>3</v>
      </c>
      <c r="M12" s="94" t="n">
        <v>3</v>
      </c>
      <c r="N12" s="148" t="n"/>
      <c r="O12">
        <f>$I12</f>
        <v/>
      </c>
      <c r="P12" s="310">
        <f>(K12*L12)+(L12*O12)</f>
        <v/>
      </c>
      <c r="Q12" s="310" t="n">
        <v>5</v>
      </c>
      <c r="R12" s="94" t="n">
        <v>3</v>
      </c>
      <c r="S12" s="94" t="n">
        <v>3</v>
      </c>
      <c r="T12" s="148" t="n"/>
      <c r="U12">
        <f>$I12</f>
        <v/>
      </c>
      <c r="V12" s="310">
        <f>(Q12*R12)+(R12*U12)</f>
        <v/>
      </c>
      <c r="W12" s="310" t="n">
        <v>5</v>
      </c>
      <c r="X12" s="94" t="n">
        <v>3</v>
      </c>
      <c r="Y12" s="94" t="n">
        <v>2</v>
      </c>
      <c r="Z12" s="148" t="n"/>
      <c r="AA12">
        <f>$I12</f>
        <v/>
      </c>
      <c r="AB12" s="310">
        <f>(W12*X12)+(X12*AA12)</f>
        <v/>
      </c>
      <c r="AC12" s="33" t="n"/>
    </row>
    <row r="13">
      <c r="C13" s="78" t="n"/>
      <c r="D13" s="144" t="inlineStr">
        <is>
          <t>Sospensione due mani 20mm</t>
        </is>
      </c>
      <c r="E13" s="179" t="inlineStr">
        <is>
          <t>AMRAP</t>
        </is>
      </c>
      <c r="F13" s="145" t="n">
        <v>1</v>
      </c>
      <c r="G13" s="145" t="n">
        <v>1</v>
      </c>
      <c r="H13" s="146" t="n">
        <v>25</v>
      </c>
      <c r="I13" s="147" t="n"/>
      <c r="J13" s="147" t="n"/>
      <c r="K13" s="179" t="inlineStr">
        <is>
          <t>AMRAP</t>
        </is>
      </c>
      <c r="L13" s="145" t="n">
        <v>1</v>
      </c>
      <c r="M13" s="145" t="n">
        <v>1</v>
      </c>
      <c r="N13" s="146" t="n">
        <v>25</v>
      </c>
      <c r="O13" s="147" t="n"/>
      <c r="P13" s="147" t="n"/>
      <c r="Q13" s="179" t="inlineStr">
        <is>
          <t>AMRAP</t>
        </is>
      </c>
      <c r="R13" s="145" t="n">
        <v>1</v>
      </c>
      <c r="S13" s="145" t="n">
        <v>1</v>
      </c>
      <c r="T13" s="146" t="n">
        <v>25</v>
      </c>
      <c r="U13" s="147" t="n"/>
      <c r="V13" s="147" t="n"/>
      <c r="W13" s="179" t="inlineStr">
        <is>
          <t>AMRAP</t>
        </is>
      </c>
      <c r="X13" s="145" t="n">
        <v>1</v>
      </c>
      <c r="Y13" s="145" t="n">
        <v>1</v>
      </c>
      <c r="Z13" s="146" t="n">
        <v>25</v>
      </c>
      <c r="AA13" s="147" t="n"/>
      <c r="AB13" s="147" t="n"/>
      <c r="AC13" s="33" t="n"/>
    </row>
    <row r="14">
      <c r="C14" s="78" t="n"/>
      <c r="D14" s="80" t="inlineStr">
        <is>
          <t>Volume totale:</t>
        </is>
      </c>
      <c r="E14" s="311">
        <f t="array" ref="E14">SUMPRODUCT((E9:E12*F9:F12)*G9:G12)</f>
        <v/>
      </c>
      <c r="H14" s="361" t="n"/>
      <c r="I14" s="310" t="n"/>
      <c r="J14" s="310" t="n"/>
      <c r="K14" s="311">
        <f t="array" ref="K14">SUMPRODUCT((K9:K12*L9:L12)*M9:M12)</f>
        <v/>
      </c>
      <c r="N14" s="361" t="n"/>
      <c r="O14" s="310" t="n"/>
      <c r="P14" s="310" t="n"/>
      <c r="Q14" s="311">
        <f t="array" ref="Q14">SUMPRODUCT((Q9:Q12*R9:R12)*S9:S12)</f>
        <v/>
      </c>
      <c r="T14" s="361" t="n"/>
      <c r="U14" s="310" t="n"/>
      <c r="V14" s="310" t="n"/>
      <c r="W14" s="311">
        <f t="array" ref="W14">SUMPRODUCT((W9:W12*X9:X12)*Y9:Y12)</f>
        <v/>
      </c>
      <c r="Z14" s="361" t="n"/>
      <c r="AA14" s="310" t="n"/>
      <c r="AB14" s="310" t="n"/>
      <c r="AC14" s="33" t="n"/>
    </row>
    <row r="15" ht="15.6" customHeight="1">
      <c r="C15" s="78" t="n"/>
      <c r="D15" s="80" t="n"/>
      <c r="E15" s="81" t="n"/>
      <c r="F15" s="310" t="n"/>
      <c r="G15" s="310" t="n"/>
      <c r="H15" s="311" t="n"/>
      <c r="I15" s="310" t="n"/>
      <c r="J15" s="310" t="n"/>
      <c r="K15" s="310" t="n"/>
      <c r="L15" s="310" t="n"/>
      <c r="M15" s="310" t="n"/>
      <c r="N15" s="311" t="n"/>
      <c r="O15" s="310" t="n"/>
      <c r="P15" s="310" t="n"/>
      <c r="Q15" s="310" t="n"/>
      <c r="R15" s="310" t="n"/>
      <c r="S15" s="310" t="n"/>
      <c r="T15" s="311" t="n"/>
      <c r="U15" s="310" t="n"/>
      <c r="V15" s="310" t="n"/>
      <c r="W15" s="81" t="n"/>
      <c r="X15" s="310" t="n"/>
      <c r="Y15" s="310" t="n"/>
      <c r="Z15" s="311" t="n"/>
      <c r="AA15" s="310" t="n"/>
      <c r="AB15" s="310" t="n"/>
      <c r="AC15" s="48" t="n"/>
    </row>
    <row r="16" ht="15.6" customHeight="1">
      <c r="C16" s="78" t="n"/>
      <c r="D16" s="80" t="inlineStr">
        <is>
          <t xml:space="preserve">Recupero:  </t>
        </is>
      </c>
      <c r="E16" s="318" t="inlineStr">
        <is>
          <t xml:space="preserve"> Tra le ripetizioni 12"							</t>
        </is>
      </c>
      <c r="H16" s="361" t="n"/>
      <c r="I16" s="312" t="n"/>
      <c r="J16" s="312" t="n"/>
      <c r="K16" s="318" t="inlineStr">
        <is>
          <t xml:space="preserve"> Tra le ripetizioni 12"							</t>
        </is>
      </c>
      <c r="N16" s="361" t="n"/>
      <c r="O16" s="312" t="n"/>
      <c r="P16" s="312" t="n"/>
      <c r="Q16" s="318" t="inlineStr">
        <is>
          <t xml:space="preserve"> Tra le ripetizioni 12"							</t>
        </is>
      </c>
      <c r="T16" s="361" t="n"/>
      <c r="U16" s="312" t="n"/>
      <c r="V16" s="312" t="n"/>
      <c r="W16" s="318" t="inlineStr">
        <is>
          <t xml:space="preserve"> Tra le ripetizioni 12"							</t>
        </is>
      </c>
      <c r="Z16" s="361" t="n"/>
      <c r="AA16" s="317" t="n"/>
      <c r="AB16" s="317" t="n"/>
      <c r="AC16" s="37" t="n"/>
    </row>
    <row r="17" ht="15.6" customHeight="1">
      <c r="C17" s="78" t="n"/>
      <c r="D17" s="80" t="n"/>
      <c r="E17" s="313" t="inlineStr">
        <is>
          <t xml:space="preserve"> Tra le serie 2'+</t>
        </is>
      </c>
      <c r="H17" s="361" t="n"/>
      <c r="I17" s="312" t="n"/>
      <c r="J17" s="312" t="n"/>
      <c r="K17" s="313" t="inlineStr">
        <is>
          <t xml:space="preserve"> Tra le serie 2'+</t>
        </is>
      </c>
      <c r="N17" s="361" t="n"/>
      <c r="O17" s="312" t="n"/>
      <c r="P17" s="312" t="n"/>
      <c r="Q17" s="313" t="inlineStr">
        <is>
          <t xml:space="preserve"> Tra le serie 2'+</t>
        </is>
      </c>
      <c r="T17" s="361" t="n"/>
      <c r="U17" s="312" t="n"/>
      <c r="V17" s="312" t="n"/>
      <c r="W17" s="313" t="inlineStr">
        <is>
          <t xml:space="preserve"> Tra le serie 2'+</t>
        </is>
      </c>
      <c r="Z17" s="361" t="n"/>
      <c r="AA17" s="312" t="n"/>
      <c r="AB17" s="312" t="n"/>
      <c r="AC17" s="37" t="n"/>
    </row>
    <row r="18">
      <c r="C18" s="78" t="n"/>
      <c r="D18" s="80" t="n"/>
      <c r="E18" s="312" t="n"/>
      <c r="F18" s="312" t="n"/>
      <c r="G18" s="312" t="n"/>
      <c r="H18" s="312" t="n"/>
      <c r="I18" s="312" t="n"/>
      <c r="J18" s="312" t="n"/>
      <c r="K18" s="312" t="n"/>
      <c r="L18" s="312" t="n"/>
      <c r="M18" s="312" t="n"/>
      <c r="N18" s="312" t="n"/>
      <c r="O18" s="312" t="n"/>
      <c r="P18" s="312" t="n"/>
      <c r="Q18" s="312" t="n"/>
      <c r="R18" s="312" t="n"/>
      <c r="S18" s="312" t="n"/>
      <c r="T18" s="312" t="n"/>
      <c r="U18" s="312" t="n"/>
      <c r="V18" s="312" t="n"/>
      <c r="W18" s="312" t="n"/>
      <c r="X18" s="312" t="n"/>
      <c r="Y18" s="312" t="n"/>
      <c r="Z18" s="312" t="n"/>
      <c r="AA18" s="312" t="n"/>
      <c r="AB18" s="312" t="n"/>
      <c r="AC18" s="37" t="n"/>
    </row>
    <row r="19">
      <c r="C19" s="78" t="n"/>
      <c r="D19" s="25" t="inlineStr">
        <is>
          <t>FORZA</t>
        </is>
      </c>
      <c r="E19" s="308" t="inlineStr">
        <is>
          <t>Wk 1</t>
        </is>
      </c>
      <c r="H19" s="360" t="n"/>
      <c r="I19" s="308" t="n"/>
      <c r="J19" s="308" t="n"/>
      <c r="K19" s="308" t="inlineStr">
        <is>
          <t>Wk 2</t>
        </is>
      </c>
      <c r="N19" s="360" t="n"/>
      <c r="O19" s="308" t="n"/>
      <c r="P19" s="308" t="n"/>
      <c r="Q19" s="308" t="inlineStr">
        <is>
          <t>Wk 3</t>
        </is>
      </c>
      <c r="T19" s="360" t="n"/>
      <c r="U19" s="308" t="n"/>
      <c r="V19" s="308" t="n"/>
      <c r="W19" s="308" t="inlineStr">
        <is>
          <t>Wk 4</t>
        </is>
      </c>
      <c r="Z19" s="360" t="n"/>
      <c r="AA19" s="307" t="n"/>
      <c r="AB19" s="307" t="n"/>
      <c r="AC19" s="33" t="n"/>
    </row>
    <row r="20">
      <c r="C20" s="78" t="n"/>
      <c r="D20" s="74" t="inlineStr">
        <is>
          <t>Esercizio</t>
        </is>
      </c>
      <c r="E20" s="95" t="inlineStr">
        <is>
          <t>TEMPO</t>
        </is>
      </c>
      <c r="F20" s="34" t="inlineStr">
        <is>
          <t>REP</t>
        </is>
      </c>
      <c r="G20" s="95" t="inlineStr">
        <is>
          <t>SET</t>
        </is>
      </c>
      <c r="H20" s="73" t="inlineStr">
        <is>
          <t>CARICO</t>
        </is>
      </c>
      <c r="I20" s="140" t="inlineStr">
        <is>
          <t>Rest</t>
        </is>
      </c>
      <c r="J20" s="140" t="inlineStr">
        <is>
          <t>TUT es</t>
        </is>
      </c>
      <c r="K20" s="95" t="inlineStr">
        <is>
          <t>TEMPO</t>
        </is>
      </c>
      <c r="L20" s="34" t="inlineStr">
        <is>
          <t>REP</t>
        </is>
      </c>
      <c r="M20" s="95" t="inlineStr">
        <is>
          <t>SET</t>
        </is>
      </c>
      <c r="N20" s="73" t="inlineStr">
        <is>
          <t>CARICO</t>
        </is>
      </c>
      <c r="O20" s="140" t="inlineStr">
        <is>
          <t>Rest</t>
        </is>
      </c>
      <c r="P20" s="140" t="inlineStr">
        <is>
          <t>TUT es</t>
        </is>
      </c>
      <c r="Q20" s="95" t="inlineStr">
        <is>
          <t>TEMPO</t>
        </is>
      </c>
      <c r="R20" s="34" t="inlineStr">
        <is>
          <t>REP</t>
        </is>
      </c>
      <c r="S20" s="95" t="inlineStr">
        <is>
          <t>SET</t>
        </is>
      </c>
      <c r="T20" s="73" t="inlineStr">
        <is>
          <t>CARICO</t>
        </is>
      </c>
      <c r="U20" s="140" t="inlineStr">
        <is>
          <t>Rest</t>
        </is>
      </c>
      <c r="V20" s="140" t="inlineStr">
        <is>
          <t>TUT es</t>
        </is>
      </c>
      <c r="W20" s="95" t="inlineStr">
        <is>
          <t>TEMPO</t>
        </is>
      </c>
      <c r="X20" s="34" t="inlineStr">
        <is>
          <t>REP</t>
        </is>
      </c>
      <c r="Y20" s="95" t="inlineStr">
        <is>
          <t>SET</t>
        </is>
      </c>
      <c r="Z20" s="73" t="inlineStr">
        <is>
          <t>CARICO</t>
        </is>
      </c>
      <c r="AA20" s="140" t="inlineStr">
        <is>
          <t>Rest</t>
        </is>
      </c>
      <c r="AB20" s="140" t="inlineStr">
        <is>
          <t>TUT es</t>
        </is>
      </c>
      <c r="AC20" s="33" t="n"/>
    </row>
    <row r="21" ht="16.15" customHeight="1">
      <c r="C21" s="78" t="n"/>
      <c r="D21" s="79" t="inlineStr">
        <is>
          <t>Stacco da terra dita stese</t>
        </is>
      </c>
      <c r="E21" s="94" t="inlineStr">
        <is>
          <t>X</t>
        </is>
      </c>
      <c r="F21" s="35" t="n">
        <v>3</v>
      </c>
      <c r="G21" s="94" t="n">
        <v>3</v>
      </c>
      <c r="H21" s="148" t="inlineStr">
        <is>
          <t>RPE6</t>
        </is>
      </c>
      <c r="I21" s="310" t="n"/>
      <c r="J21" s="310">
        <f>(E21*F21)+(F21*I21)</f>
        <v/>
      </c>
      <c r="K21" s="94" t="inlineStr">
        <is>
          <t>X</t>
        </is>
      </c>
      <c r="L21" s="35" t="n">
        <v>4</v>
      </c>
      <c r="M21" s="94" t="n">
        <v>3</v>
      </c>
      <c r="N21" s="148" t="inlineStr">
        <is>
          <t>RPE7</t>
        </is>
      </c>
      <c r="O21">
        <f>$I21</f>
        <v/>
      </c>
      <c r="P21" s="310">
        <f>(K21*L21)+(L21*O21)</f>
        <v/>
      </c>
      <c r="Q21" s="94" t="inlineStr">
        <is>
          <t>X</t>
        </is>
      </c>
      <c r="R21" s="35" t="n">
        <v>5</v>
      </c>
      <c r="S21" s="94" t="n">
        <v>3</v>
      </c>
      <c r="T21" s="148" t="inlineStr">
        <is>
          <t>RPE8</t>
        </is>
      </c>
      <c r="U21">
        <f>$I21</f>
        <v/>
      </c>
      <c r="V21" s="310">
        <f>(Q21*R21)+(R21*U21)</f>
        <v/>
      </c>
      <c r="W21" s="94" t="inlineStr">
        <is>
          <t>\</t>
        </is>
      </c>
      <c r="X21" s="35" t="inlineStr">
        <is>
          <t>\</t>
        </is>
      </c>
      <c r="Y21" s="94" t="inlineStr">
        <is>
          <t>\</t>
        </is>
      </c>
      <c r="Z21" s="244" t="inlineStr">
        <is>
          <t>\</t>
        </is>
      </c>
      <c r="AA21">
        <f>$I21</f>
        <v/>
      </c>
      <c r="AB21" s="310">
        <f>(W21*X21)+(X21*AA21)</f>
        <v/>
      </c>
      <c r="AC21" s="33" t="n"/>
      <c r="AD21" s="25" t="n"/>
      <c r="AE21" s="25" t="n"/>
      <c r="AF21" s="25" t="n"/>
    </row>
    <row r="22">
      <c r="C22" s="78" t="n"/>
      <c r="D22" s="144" t="inlineStr">
        <is>
          <t>Sospensioni bidito semiarcuate scaricate</t>
        </is>
      </c>
      <c r="E22" s="145" t="n">
        <v>5</v>
      </c>
      <c r="F22" s="145" t="n">
        <v>3</v>
      </c>
      <c r="G22" s="145" t="n">
        <v>2</v>
      </c>
      <c r="H22" s="151" t="n"/>
      <c r="I22" s="147" t="n"/>
      <c r="J22" s="147">
        <f>(E22*F22)+(F22*I22)</f>
        <v/>
      </c>
      <c r="K22" s="145" t="n">
        <v>5</v>
      </c>
      <c r="L22" s="145" t="n">
        <v>3</v>
      </c>
      <c r="M22" s="145" t="n">
        <v>2</v>
      </c>
      <c r="N22" s="151" t="n"/>
      <c r="O22" s="150">
        <f>$I22</f>
        <v/>
      </c>
      <c r="P22" s="147">
        <f>(K22*L22)+(L22*O22)</f>
        <v/>
      </c>
      <c r="Q22" s="145" t="n">
        <v>5</v>
      </c>
      <c r="R22" s="145" t="n">
        <v>3</v>
      </c>
      <c r="S22" s="145" t="n">
        <v>2</v>
      </c>
      <c r="T22" s="151" t="n"/>
      <c r="U22" s="150">
        <f>$I22</f>
        <v/>
      </c>
      <c r="V22" s="147">
        <f>(Q22*R22)+(R22*U22)</f>
        <v/>
      </c>
      <c r="W22" s="145" t="n">
        <v>5</v>
      </c>
      <c r="X22" s="145" t="n">
        <v>3</v>
      </c>
      <c r="Y22" s="145" t="n">
        <v>2</v>
      </c>
      <c r="Z22" s="151" t="n"/>
      <c r="AA22" s="150">
        <f>$I22</f>
        <v/>
      </c>
      <c r="AB22" s="147">
        <f>(W22*X22)+(X22*AA22)</f>
        <v/>
      </c>
      <c r="AC22" s="33" t="n"/>
      <c r="AD22" s="7" t="n"/>
    </row>
    <row r="23">
      <c r="C23" s="78" t="n"/>
      <c r="D23" s="79" t="inlineStr">
        <is>
          <t>Sospensioni svase</t>
        </is>
      </c>
      <c r="E23" s="310" t="n">
        <v>6</v>
      </c>
      <c r="F23" s="94" t="n">
        <v>2</v>
      </c>
      <c r="G23" s="94" t="n">
        <v>3</v>
      </c>
      <c r="H23" s="148" t="n"/>
      <c r="I23" s="310" t="n"/>
      <c r="J23" s="310">
        <f>(E23*F23)+(F23*I23)</f>
        <v/>
      </c>
      <c r="K23" s="310" t="n">
        <v>6</v>
      </c>
      <c r="L23" s="94" t="n">
        <v>2</v>
      </c>
      <c r="M23" s="94" t="n">
        <v>3</v>
      </c>
      <c r="N23" s="148" t="n"/>
      <c r="O23">
        <f>$I23</f>
        <v/>
      </c>
      <c r="P23" s="310">
        <f>(K23*L23)+(L23*O23)</f>
        <v/>
      </c>
      <c r="Q23" s="310" t="n">
        <v>6</v>
      </c>
      <c r="R23" s="94" t="n">
        <v>3</v>
      </c>
      <c r="S23" s="94" t="n">
        <v>3</v>
      </c>
      <c r="T23" s="148" t="n"/>
      <c r="U23">
        <f>$I23</f>
        <v/>
      </c>
      <c r="V23" s="310">
        <f>(Q23*R23)+(R23*U23)</f>
        <v/>
      </c>
      <c r="W23" s="310" t="n">
        <v>6</v>
      </c>
      <c r="X23" s="94" t="n">
        <v>3</v>
      </c>
      <c r="Y23" s="94" t="n">
        <v>2</v>
      </c>
      <c r="Z23" s="148" t="n"/>
      <c r="AA23">
        <f>$I23</f>
        <v/>
      </c>
      <c r="AB23" s="310">
        <f>(W23*X23)+(X23*AA23)</f>
        <v/>
      </c>
      <c r="AC23" s="33" t="n"/>
    </row>
    <row r="24">
      <c r="C24" s="78" t="n"/>
      <c r="D24" s="144" t="inlineStr">
        <is>
          <t>Sospensione due mani 20mm</t>
        </is>
      </c>
      <c r="E24" s="179" t="inlineStr">
        <is>
          <t>AMRAP</t>
        </is>
      </c>
      <c r="F24" s="145" t="n">
        <v>1</v>
      </c>
      <c r="G24" s="145" t="n">
        <v>1</v>
      </c>
      <c r="H24" s="146" t="n">
        <v>25</v>
      </c>
      <c r="I24" s="147" t="n"/>
      <c r="J24" s="147" t="n"/>
      <c r="K24" s="179" t="inlineStr">
        <is>
          <t>AMRAP</t>
        </is>
      </c>
      <c r="L24" s="145" t="n">
        <v>1</v>
      </c>
      <c r="M24" s="145" t="n">
        <v>1</v>
      </c>
      <c r="N24" s="146" t="n">
        <v>25</v>
      </c>
      <c r="O24" s="147" t="n"/>
      <c r="P24" s="147" t="n"/>
      <c r="Q24" s="179" t="inlineStr">
        <is>
          <t>AMRAP</t>
        </is>
      </c>
      <c r="R24" s="145" t="n">
        <v>1</v>
      </c>
      <c r="S24" s="145" t="n">
        <v>1</v>
      </c>
      <c r="T24" s="146" t="n">
        <v>25</v>
      </c>
      <c r="U24" s="147" t="n"/>
      <c r="V24" s="147" t="n"/>
      <c r="W24" s="179" t="inlineStr">
        <is>
          <t>AMRAP</t>
        </is>
      </c>
      <c r="X24" s="145" t="n">
        <v>1</v>
      </c>
      <c r="Y24" s="145" t="n">
        <v>1</v>
      </c>
      <c r="Z24" s="146" t="n">
        <v>25</v>
      </c>
      <c r="AA24" s="147" t="n"/>
      <c r="AB24" s="147" t="n"/>
      <c r="AC24" s="33" t="n"/>
    </row>
    <row r="25">
      <c r="C25" s="78" t="n"/>
      <c r="D25" s="80" t="inlineStr">
        <is>
          <t>Volume totale:</t>
        </is>
      </c>
      <c r="E25" s="311">
        <f t="array" ref="E25">SUMPRODUCT((E21:E23*F21:F23)*G21:G23)</f>
        <v/>
      </c>
      <c r="H25" s="361" t="n"/>
      <c r="I25" s="310" t="n"/>
      <c r="J25" s="310" t="n"/>
      <c r="K25" s="311">
        <f t="array" ref="K25">SUMPRODUCT((K21:K23*L21:L23)*M21:M23)</f>
        <v/>
      </c>
      <c r="N25" s="361" t="n"/>
      <c r="O25" s="310" t="n"/>
      <c r="P25" s="310" t="n"/>
      <c r="Q25" s="311">
        <f t="array" ref="Q25">SUMPRODUCT((Q21:Q23*R21:R23)*S21:S23)</f>
        <v/>
      </c>
      <c r="T25" s="361" t="n"/>
      <c r="U25" s="310" t="n"/>
      <c r="V25" s="310" t="n"/>
      <c r="W25" s="311">
        <f t="array" ref="W25">SUMPRODUCT((W21:W23*X21:X23)*Y21:Y23)</f>
        <v/>
      </c>
      <c r="Z25" s="361" t="n"/>
      <c r="AA25" s="310" t="n"/>
      <c r="AB25" s="310" t="n"/>
      <c r="AC25" s="33" t="n"/>
    </row>
    <row r="26" ht="15.6" customHeight="1">
      <c r="C26" s="78" t="n"/>
      <c r="D26" s="80" t="n"/>
      <c r="E26" s="81" t="n"/>
      <c r="F26" s="310" t="n"/>
      <c r="G26" s="310" t="n"/>
      <c r="H26" s="311" t="n"/>
      <c r="I26" s="310" t="n"/>
      <c r="J26" s="310" t="n"/>
      <c r="K26" s="310" t="n"/>
      <c r="L26" s="310" t="n"/>
      <c r="M26" s="310" t="n"/>
      <c r="N26" s="311" t="n"/>
      <c r="O26" s="310" t="n"/>
      <c r="P26" s="310" t="n"/>
      <c r="Q26" s="310" t="n"/>
      <c r="R26" s="310" t="n"/>
      <c r="S26" s="310" t="n"/>
      <c r="T26" s="311" t="n"/>
      <c r="U26" s="310" t="n"/>
      <c r="V26" s="310" t="n"/>
      <c r="W26" s="81" t="n"/>
      <c r="X26" s="310" t="n"/>
      <c r="Y26" s="310" t="n"/>
      <c r="Z26" s="311" t="n"/>
      <c r="AA26" s="310" t="n"/>
      <c r="AB26" s="310" t="n"/>
      <c r="AC26" s="48" t="n"/>
    </row>
    <row r="27" ht="15.6" customHeight="1">
      <c r="C27" s="78" t="n"/>
      <c r="D27" s="80" t="inlineStr">
        <is>
          <t xml:space="preserve">Recupero:  </t>
        </is>
      </c>
      <c r="E27" s="318" t="inlineStr">
        <is>
          <t xml:space="preserve"> Tra le ripetizioni 12"							</t>
        </is>
      </c>
      <c r="H27" s="361" t="n"/>
      <c r="I27" s="312" t="n"/>
      <c r="J27" s="312" t="n"/>
      <c r="K27" s="318" t="inlineStr">
        <is>
          <t xml:space="preserve"> Tra le ripetizioni 12"							</t>
        </is>
      </c>
      <c r="N27" s="361" t="n"/>
      <c r="O27" s="312" t="n"/>
      <c r="P27" s="312" t="n"/>
      <c r="Q27" s="318" t="inlineStr">
        <is>
          <t xml:space="preserve"> Tra le ripetizioni 12"							</t>
        </is>
      </c>
      <c r="T27" s="361" t="n"/>
      <c r="U27" s="312" t="n"/>
      <c r="V27" s="312" t="n"/>
      <c r="W27" s="318" t="inlineStr">
        <is>
          <t xml:space="preserve"> Tra le ripetizioni 12"							</t>
        </is>
      </c>
      <c r="Z27" s="361" t="n"/>
      <c r="AA27" s="317" t="n"/>
      <c r="AB27" s="317" t="n"/>
      <c r="AC27" s="37" t="n"/>
    </row>
    <row r="28" ht="15.6" customHeight="1">
      <c r="C28" s="78" t="n"/>
      <c r="D28" s="80" t="n"/>
      <c r="E28" s="313" t="inlineStr">
        <is>
          <t xml:space="preserve"> Tra le serie 2'+</t>
        </is>
      </c>
      <c r="H28" s="361" t="n"/>
      <c r="I28" s="312" t="n"/>
      <c r="J28" s="312" t="n"/>
      <c r="K28" s="313" t="inlineStr">
        <is>
          <t xml:space="preserve"> Tra le serie 2'+</t>
        </is>
      </c>
      <c r="N28" s="361" t="n"/>
      <c r="O28" s="312" t="n"/>
      <c r="P28" s="312" t="n"/>
      <c r="Q28" s="313" t="inlineStr">
        <is>
          <t xml:space="preserve"> Tra le serie 2'+</t>
        </is>
      </c>
      <c r="T28" s="361" t="n"/>
      <c r="U28" s="312" t="n"/>
      <c r="V28" s="312" t="n"/>
      <c r="W28" s="313" t="inlineStr">
        <is>
          <t xml:space="preserve"> Tra le serie 2'+</t>
        </is>
      </c>
      <c r="Z28" s="361" t="n"/>
      <c r="AA28" s="312" t="n"/>
      <c r="AB28" s="312" t="n"/>
      <c r="AC28" s="37" t="n"/>
    </row>
    <row r="29">
      <c r="C29" s="78" t="n"/>
      <c r="D29" s="81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9" t="n"/>
    </row>
    <row r="30">
      <c r="C30" s="78" t="n"/>
      <c r="D30" s="81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9" t="n"/>
    </row>
    <row r="31">
      <c r="C31" s="78" t="n"/>
      <c r="D31" s="81" t="inlineStr">
        <is>
          <t xml:space="preserve">1RM stacco da terra </t>
        </is>
      </c>
      <c r="E31" s="38" t="n">
        <v>48</v>
      </c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9" t="n"/>
    </row>
    <row r="32">
      <c r="C32" s="78" t="n"/>
      <c r="D32" s="81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9" t="n"/>
    </row>
    <row r="33">
      <c r="C33" s="78" t="n"/>
      <c r="D33" s="319" t="inlineStr">
        <is>
          <t>Esegui le sospensioni senza arrivare mai allo sfinimento (tranne nell'AMRAP), nel caso siano facili aumenta la zavorra</t>
        </is>
      </c>
      <c r="X33" s="40" t="n"/>
      <c r="Y33" s="40" t="n"/>
      <c r="Z33" s="40" t="n"/>
      <c r="AA33" s="40" t="n"/>
      <c r="AB33" s="40" t="n"/>
      <c r="AC33" s="41" t="n"/>
    </row>
    <row r="34" ht="14.45" customHeight="1">
      <c r="C34" s="78" t="n"/>
      <c r="D34" s="319" t="inlineStr">
        <is>
          <t>Esegui l'AMRAP entrambi i giorni di allenamento recuperando 3' prima di farlo</t>
        </is>
      </c>
      <c r="L34" s="319" t="n"/>
      <c r="M34" s="319" t="n"/>
      <c r="N34" s="319" t="n"/>
      <c r="O34" s="319" t="n"/>
      <c r="P34" s="319" t="n"/>
      <c r="Q34" s="319" t="n"/>
      <c r="R34" s="319" t="n"/>
      <c r="S34" s="319" t="n"/>
      <c r="T34" s="319" t="n"/>
      <c r="U34" s="319" t="n"/>
      <c r="V34" s="319" t="n"/>
      <c r="W34" s="319" t="n"/>
      <c r="X34" s="40" t="n"/>
      <c r="Y34" s="40" t="n"/>
      <c r="Z34" s="40" t="n"/>
      <c r="AA34" s="40" t="n"/>
      <c r="AB34" s="40" t="n"/>
      <c r="AC34" s="41" t="n"/>
    </row>
    <row r="35" ht="15.75" customHeight="1" thickBot="1">
      <c r="C35" s="82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315" t="n">
        <v>45447</v>
      </c>
      <c r="Z35" s="9" t="n"/>
      <c r="AA35" s="9" t="n"/>
      <c r="AB35" s="9" t="n"/>
      <c r="AC35" s="362" t="n"/>
    </row>
    <row r="36" ht="15.75" customHeight="1" thickTop="1">
      <c r="C36" s="1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12" t="n"/>
      <c r="X36" s="12" t="n"/>
      <c r="Y36" s="12" t="n"/>
      <c r="Z36" s="12" t="n"/>
      <c r="AA36" s="12" t="n"/>
      <c r="AB36" s="12" t="n"/>
      <c r="AC36" s="12" t="n"/>
    </row>
    <row r="37">
      <c r="C37" s="12" t="n"/>
      <c r="D37" s="12" t="n"/>
      <c r="E37" s="83" t="n"/>
      <c r="F37" s="83" t="n"/>
      <c r="G37" s="83" t="n"/>
      <c r="H37" s="83" t="n"/>
      <c r="I37" s="83" t="n"/>
      <c r="J37" s="83" t="n"/>
      <c r="K37" s="83" t="n"/>
      <c r="L37" s="83" t="n"/>
      <c r="M37" s="83" t="n"/>
      <c r="N37" s="83" t="n"/>
      <c r="O37" s="83" t="n"/>
      <c r="P37" s="83" t="n"/>
      <c r="Q37" s="83" t="n"/>
      <c r="R37" s="83" t="n"/>
      <c r="S37" s="83" t="n"/>
      <c r="T37" s="83" t="n"/>
      <c r="U37" s="83" t="n"/>
      <c r="V37" s="83" t="n"/>
      <c r="W37" s="12" t="n"/>
      <c r="X37" s="12" t="n"/>
      <c r="Y37" s="12" t="n"/>
      <c r="Z37" s="12" t="n"/>
      <c r="AA37" s="12" t="n"/>
      <c r="AB37" s="12" t="n"/>
      <c r="AC37" s="12" t="n"/>
    </row>
    <row r="38" ht="15.6" customHeight="1">
      <c r="C38" s="328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</row>
    <row r="39" ht="15.6" customHeight="1" thickBot="1">
      <c r="C39" s="25" t="inlineStr">
        <is>
          <t>WEEK 5-8</t>
        </is>
      </c>
      <c r="D39" s="81" t="n"/>
      <c r="E39" s="12" t="n"/>
      <c r="F39" s="12" t="n"/>
      <c r="G39" s="27" t="n"/>
      <c r="H39" s="27" t="n"/>
      <c r="I39" s="141" t="n"/>
      <c r="J39" s="141" t="n"/>
      <c r="K39" s="12" t="n"/>
      <c r="L39" s="320">
        <f>$L$3</f>
        <v/>
      </c>
      <c r="M39" s="9" t="n"/>
      <c r="N39" s="28" t="n"/>
      <c r="O39" s="28" t="n"/>
      <c r="P39" s="28" t="n"/>
      <c r="Q39" s="28" t="n"/>
      <c r="R39" s="12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348">
        <f>$AC$3</f>
        <v/>
      </c>
    </row>
    <row r="40" ht="40.9" customHeight="1" thickBot="1" thickTop="1">
      <c r="C40" s="321" t="n"/>
      <c r="D40" s="357" t="n"/>
      <c r="E40" s="357" t="n"/>
      <c r="F40" s="357" t="n"/>
      <c r="G40" s="357" t="n"/>
      <c r="H40" s="357" t="n"/>
      <c r="I40" s="357" t="n"/>
      <c r="J40" s="357" t="n"/>
      <c r="K40" s="357" t="n"/>
      <c r="L40" s="357" t="n"/>
      <c r="M40" s="357" t="n"/>
      <c r="N40" s="357" t="n"/>
      <c r="O40" s="357" t="n"/>
      <c r="P40" s="357" t="n"/>
      <c r="Q40" s="357" t="n"/>
      <c r="R40" s="357" t="n"/>
      <c r="S40" s="357" t="n"/>
      <c r="T40" s="357" t="n"/>
      <c r="U40" s="357" t="n"/>
      <c r="V40" s="357" t="n"/>
      <c r="W40" s="357" t="n"/>
      <c r="X40" s="357" t="n"/>
      <c r="Y40" s="357" t="n"/>
      <c r="Z40" s="324">
        <f>$AC$4</f>
        <v/>
      </c>
      <c r="AA40" s="357" t="n"/>
      <c r="AB40" s="357" t="n"/>
      <c r="AC40" s="359" t="n"/>
    </row>
    <row r="41" ht="15.6" customHeight="1" thickBot="1" thickTop="1">
      <c r="C41" s="358" t="inlineStr">
        <is>
          <t>DATA SOSPENSIONI</t>
        </is>
      </c>
      <c r="D41" s="357" t="n"/>
      <c r="E41" s="357" t="n"/>
      <c r="F41" s="357" t="n"/>
      <c r="G41" s="357" t="n"/>
      <c r="H41" s="357" t="n"/>
      <c r="I41" s="357" t="n"/>
      <c r="J41" s="357" t="n"/>
      <c r="K41" s="357" t="n"/>
      <c r="L41" s="357" t="n"/>
      <c r="M41" s="357" t="n"/>
      <c r="N41" s="357" t="n"/>
      <c r="O41" s="357" t="n"/>
      <c r="P41" s="357" t="n"/>
      <c r="Q41" s="357" t="n"/>
      <c r="R41" s="357" t="n"/>
      <c r="S41" s="357" t="n"/>
      <c r="T41" s="357" t="n"/>
      <c r="U41" s="357" t="n"/>
      <c r="V41" s="357" t="n"/>
      <c r="W41" s="357" t="n"/>
      <c r="X41" s="357" t="n"/>
      <c r="Y41" s="357" t="n"/>
      <c r="Z41" s="357" t="n"/>
      <c r="AA41" s="357" t="n"/>
      <c r="AB41" s="357" t="n"/>
      <c r="AC41" s="359" t="n"/>
    </row>
    <row r="42" ht="15.75" customHeight="1" thickTop="1">
      <c r="C42" s="75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7" t="n"/>
    </row>
    <row r="43">
      <c r="C43" s="78" t="n"/>
      <c r="D43" s="81" t="inlineStr">
        <is>
          <t>FORZA</t>
        </is>
      </c>
      <c r="E43" s="308" t="inlineStr">
        <is>
          <t>Wk 5</t>
        </is>
      </c>
      <c r="H43" s="360" t="n"/>
      <c r="I43" s="308" t="n"/>
      <c r="J43" s="308" t="n"/>
      <c r="K43" s="308" t="inlineStr">
        <is>
          <t>Wk 6</t>
        </is>
      </c>
      <c r="N43" s="360" t="n"/>
      <c r="O43" s="308" t="n"/>
      <c r="P43" s="308" t="n"/>
      <c r="Q43" s="308" t="inlineStr">
        <is>
          <t>Wk 7</t>
        </is>
      </c>
      <c r="T43" s="360" t="n"/>
      <c r="U43" s="308" t="n"/>
      <c r="V43" s="308" t="n"/>
      <c r="W43" s="308" t="inlineStr">
        <is>
          <t>Wk 8</t>
        </is>
      </c>
      <c r="Z43" s="360" t="n"/>
      <c r="AA43" s="81" t="n"/>
      <c r="AB43" s="81" t="n"/>
      <c r="AC43" s="48" t="n"/>
    </row>
    <row r="44">
      <c r="C44" s="78" t="n"/>
      <c r="D44" s="74" t="inlineStr">
        <is>
          <t>Esercizio</t>
        </is>
      </c>
      <c r="E44" s="95" t="inlineStr">
        <is>
          <t>TEMPO</t>
        </is>
      </c>
      <c r="F44" s="34" t="inlineStr">
        <is>
          <t>REP</t>
        </is>
      </c>
      <c r="G44" s="95" t="inlineStr">
        <is>
          <t>SET</t>
        </is>
      </c>
      <c r="H44" s="73" t="inlineStr">
        <is>
          <t>CARICO</t>
        </is>
      </c>
      <c r="I44" s="140" t="inlineStr">
        <is>
          <t>Rest</t>
        </is>
      </c>
      <c r="J44" s="140" t="inlineStr">
        <is>
          <t>TUT es</t>
        </is>
      </c>
      <c r="K44" s="95" t="inlineStr">
        <is>
          <t>TEMPO</t>
        </is>
      </c>
      <c r="L44" s="34" t="inlineStr">
        <is>
          <t>REP</t>
        </is>
      </c>
      <c r="M44" s="95" t="inlineStr">
        <is>
          <t>SET</t>
        </is>
      </c>
      <c r="N44" s="73" t="inlineStr">
        <is>
          <t>CARICO</t>
        </is>
      </c>
      <c r="O44" s="140" t="inlineStr">
        <is>
          <t>Rest</t>
        </is>
      </c>
      <c r="P44" s="140" t="inlineStr">
        <is>
          <t>TUT es</t>
        </is>
      </c>
      <c r="Q44" s="95" t="inlineStr">
        <is>
          <t>TEMPO</t>
        </is>
      </c>
      <c r="R44" s="34" t="inlineStr">
        <is>
          <t>REP</t>
        </is>
      </c>
      <c r="S44" s="95" t="inlineStr">
        <is>
          <t>SET</t>
        </is>
      </c>
      <c r="T44" s="73" t="inlineStr">
        <is>
          <t>CARICO</t>
        </is>
      </c>
      <c r="U44" s="140" t="inlineStr">
        <is>
          <t>Rest</t>
        </is>
      </c>
      <c r="V44" s="140" t="inlineStr">
        <is>
          <t>TUT es</t>
        </is>
      </c>
      <c r="W44" s="95" t="inlineStr">
        <is>
          <t>TEMPO</t>
        </is>
      </c>
      <c r="X44" s="34" t="inlineStr">
        <is>
          <t>REP</t>
        </is>
      </c>
      <c r="Y44" s="95" t="inlineStr">
        <is>
          <t>SET</t>
        </is>
      </c>
      <c r="Z44" s="73" t="inlineStr">
        <is>
          <t>CARICO</t>
        </is>
      </c>
      <c r="AA44" s="140" t="inlineStr">
        <is>
          <t>Rest</t>
        </is>
      </c>
      <c r="AB44" s="140" t="inlineStr">
        <is>
          <t>TUT es</t>
        </is>
      </c>
      <c r="AC44" s="33" t="n"/>
    </row>
    <row r="45">
      <c r="C45" s="78" t="n"/>
      <c r="D45" s="79" t="inlineStr">
        <is>
          <t>Sospensioni due mani</t>
        </is>
      </c>
      <c r="E45" s="94" t="n"/>
      <c r="F45" s="35" t="n"/>
      <c r="G45" s="94" t="n"/>
      <c r="H45" s="148" t="n"/>
      <c r="I45" s="310" t="n"/>
      <c r="J45" s="310">
        <f>(E45*F45)+(F45*I45)</f>
        <v/>
      </c>
      <c r="K45" s="94" t="n"/>
      <c r="L45" s="35" t="n"/>
      <c r="M45" s="94" t="n"/>
      <c r="N45" s="148" t="n"/>
      <c r="O45">
        <f>$I45</f>
        <v/>
      </c>
      <c r="P45" s="310">
        <f>(K45*L45)+(L45*O45)</f>
        <v/>
      </c>
      <c r="Q45" s="94" t="n"/>
      <c r="R45" s="35" t="n"/>
      <c r="S45" s="94" t="n"/>
      <c r="T45" s="148" t="n"/>
      <c r="U45">
        <f>$I45</f>
        <v/>
      </c>
      <c r="V45" s="310">
        <f>(Q45*R45)+(R45*U45)</f>
        <v/>
      </c>
      <c r="W45" s="94" t="n"/>
      <c r="X45" s="35" t="n"/>
      <c r="Y45" s="94" t="n"/>
      <c r="Z45" s="148" t="n"/>
      <c r="AA45">
        <f>$I45</f>
        <v/>
      </c>
      <c r="AB45" s="310">
        <f>(W45*X45)+(X45*AA45)</f>
        <v/>
      </c>
      <c r="AC45" s="33" t="n"/>
    </row>
    <row r="46" ht="16.15" customHeight="1">
      <c r="C46" s="78" t="n"/>
      <c r="D46" s="144" t="inlineStr">
        <is>
          <t>Sospensioni bidito</t>
        </is>
      </c>
      <c r="E46" s="145" t="n"/>
      <c r="F46" s="145" t="n"/>
      <c r="G46" s="145" t="n"/>
      <c r="H46" s="151" t="n"/>
      <c r="I46" s="147" t="n"/>
      <c r="J46" s="147">
        <f>(E46*F46)+(F46*I46)</f>
        <v/>
      </c>
      <c r="K46" s="145" t="n"/>
      <c r="L46" s="145" t="n"/>
      <c r="M46" s="145" t="n"/>
      <c r="N46" s="151" t="n"/>
      <c r="O46" s="150">
        <f>$I46</f>
        <v/>
      </c>
      <c r="P46" s="147">
        <f>(K46*L46)+(L46*O46)</f>
        <v/>
      </c>
      <c r="Q46" s="145" t="n"/>
      <c r="R46" s="145" t="n"/>
      <c r="S46" s="145" t="n"/>
      <c r="T46" s="151" t="n"/>
      <c r="U46" s="150">
        <f>$I46</f>
        <v/>
      </c>
      <c r="V46" s="147">
        <f>(Q46*R46)+(R46*U46)</f>
        <v/>
      </c>
      <c r="W46" s="145" t="n"/>
      <c r="X46" s="145" t="n"/>
      <c r="Y46" s="145" t="n"/>
      <c r="Z46" s="151" t="n"/>
      <c r="AA46" s="150">
        <f>$I46</f>
        <v/>
      </c>
      <c r="AB46" s="147">
        <f>(W46*X46)+(X46*AA46)</f>
        <v/>
      </c>
      <c r="AC46" s="33" t="n"/>
      <c r="AD46" s="25" t="n"/>
      <c r="AE46" s="25" t="n"/>
      <c r="AF46" s="25" t="n"/>
    </row>
    <row r="47">
      <c r="C47" s="78" t="n"/>
      <c r="D47" s="79" t="inlineStr">
        <is>
          <t>Sospensioni svase</t>
        </is>
      </c>
      <c r="E47" s="310" t="n"/>
      <c r="F47" s="94" t="n"/>
      <c r="G47" s="94" t="n"/>
      <c r="H47" s="148" t="n"/>
      <c r="I47" s="310" t="n"/>
      <c r="J47" s="310">
        <f>(E47*F47)+(F47*I47)</f>
        <v/>
      </c>
      <c r="K47" s="310" t="n"/>
      <c r="L47" s="94" t="n"/>
      <c r="M47" s="94" t="n"/>
      <c r="N47" s="148" t="n"/>
      <c r="O47">
        <f>$I47</f>
        <v/>
      </c>
      <c r="P47" s="310">
        <f>(K47*L47)+(L47*O47)</f>
        <v/>
      </c>
      <c r="Q47" s="310" t="n"/>
      <c r="R47" s="94" t="n"/>
      <c r="S47" s="94" t="n"/>
      <c r="T47" s="148" t="n"/>
      <c r="U47">
        <f>$I47</f>
        <v/>
      </c>
      <c r="V47" s="310">
        <f>(Q47*R47)+(R47*U47)</f>
        <v/>
      </c>
      <c r="W47" s="310" t="n"/>
      <c r="X47" s="94" t="n"/>
      <c r="Y47" s="94" t="n"/>
      <c r="Z47" s="148" t="n"/>
      <c r="AA47">
        <f>$I47</f>
        <v/>
      </c>
      <c r="AB47" s="310">
        <f>(W47*X47)+(X47*AA47)</f>
        <v/>
      </c>
      <c r="AC47" s="33" t="n"/>
      <c r="AD47" s="7" t="n"/>
    </row>
    <row r="48">
      <c r="C48" s="78" t="n"/>
      <c r="D48" s="144" t="inlineStr">
        <is>
          <t>Sospensione due mani</t>
        </is>
      </c>
      <c r="E48" s="179" t="inlineStr">
        <is>
          <t>AMRAP</t>
        </is>
      </c>
      <c r="F48" s="145" t="n">
        <v>1</v>
      </c>
      <c r="G48" s="145" t="n">
        <v>1</v>
      </c>
      <c r="H48" s="146" t="n"/>
      <c r="I48" s="147" t="n"/>
      <c r="J48" s="147" t="n"/>
      <c r="K48" s="179" t="inlineStr">
        <is>
          <t>AMRAP</t>
        </is>
      </c>
      <c r="L48" s="145" t="n">
        <v>1</v>
      </c>
      <c r="M48" s="145" t="n">
        <v>1</v>
      </c>
      <c r="N48" s="146" t="n"/>
      <c r="O48" s="147" t="n"/>
      <c r="P48" s="147" t="n"/>
      <c r="Q48" s="179" t="inlineStr">
        <is>
          <t>AMRAP</t>
        </is>
      </c>
      <c r="R48" s="145" t="n">
        <v>1</v>
      </c>
      <c r="S48" s="145" t="n">
        <v>1</v>
      </c>
      <c r="T48" s="146" t="n"/>
      <c r="U48" s="147" t="n"/>
      <c r="V48" s="147" t="n"/>
      <c r="W48" s="179" t="inlineStr">
        <is>
          <t>AMRAP</t>
        </is>
      </c>
      <c r="X48" s="145" t="n">
        <v>1</v>
      </c>
      <c r="Y48" s="145" t="n">
        <v>1</v>
      </c>
      <c r="Z48" s="146" t="n"/>
      <c r="AA48" s="147" t="n"/>
      <c r="AB48" s="147" t="n"/>
      <c r="AC48" s="33" t="n"/>
    </row>
    <row r="49">
      <c r="C49" s="78" t="n"/>
      <c r="D49" s="80" t="inlineStr">
        <is>
          <t>Volume totale:</t>
        </is>
      </c>
      <c r="E49" s="311">
        <f t="array" ref="E49">SUMPRODUCT((E45:E47*F45:F47)*G45:G47)</f>
        <v/>
      </c>
      <c r="H49" s="361" t="n"/>
      <c r="I49" s="310" t="n"/>
      <c r="J49" s="310" t="n"/>
      <c r="K49" s="311">
        <f t="array" ref="K49">SUMPRODUCT((K45:K47*L45:L47)*M45:M47)</f>
        <v/>
      </c>
      <c r="N49" s="361" t="n"/>
      <c r="O49" s="310" t="n"/>
      <c r="P49" s="310" t="n"/>
      <c r="Q49" s="311">
        <f t="array" ref="Q49">SUMPRODUCT((Q45:Q47*R45:R47)*S45:S47)</f>
        <v/>
      </c>
      <c r="T49" s="361" t="n"/>
      <c r="U49" s="310" t="n"/>
      <c r="V49" s="310" t="n"/>
      <c r="W49" s="311">
        <f t="array" ref="W49">SUMPRODUCT((W45:W47*X45:X47)*Y45:Y47)</f>
        <v/>
      </c>
      <c r="Z49" s="361" t="n"/>
      <c r="AA49" s="310" t="n"/>
      <c r="AB49" s="310" t="n"/>
      <c r="AC49" s="33" t="n"/>
    </row>
    <row r="50" ht="15.6" customHeight="1">
      <c r="C50" s="78" t="n"/>
      <c r="D50" s="80" t="n"/>
      <c r="E50" s="81" t="n"/>
      <c r="F50" s="310" t="n"/>
      <c r="G50" s="310" t="n"/>
      <c r="H50" s="311" t="n"/>
      <c r="I50" s="310" t="n"/>
      <c r="J50" s="310" t="n"/>
      <c r="K50" s="310" t="n"/>
      <c r="L50" s="310" t="n"/>
      <c r="M50" s="310" t="n"/>
      <c r="N50" s="311" t="n"/>
      <c r="O50" s="310" t="n"/>
      <c r="P50" s="310" t="n"/>
      <c r="Q50" s="310" t="n"/>
      <c r="R50" s="310" t="n"/>
      <c r="S50" s="310" t="n"/>
      <c r="T50" s="311" t="n"/>
      <c r="U50" s="310" t="n"/>
      <c r="V50" s="310" t="n"/>
      <c r="W50" s="81" t="n"/>
      <c r="X50" s="310" t="n"/>
      <c r="Y50" s="310" t="n"/>
      <c r="Z50" s="311" t="n"/>
      <c r="AA50" s="310" t="n"/>
      <c r="AB50" s="310" t="n"/>
      <c r="AC50" s="48" t="n"/>
    </row>
    <row r="51" ht="15.6" customHeight="1">
      <c r="C51" s="78" t="n"/>
      <c r="D51" s="80" t="inlineStr">
        <is>
          <t xml:space="preserve">Recupero:  </t>
        </is>
      </c>
      <c r="E51" s="313" t="inlineStr">
        <is>
          <t xml:space="preserve"> Tra le ripetizioni 8"
											</t>
        </is>
      </c>
      <c r="H51" s="361" t="n"/>
      <c r="I51" s="312" t="n"/>
      <c r="J51" s="312" t="n"/>
      <c r="K51" s="313" t="inlineStr">
        <is>
          <t xml:space="preserve"> Tra le ripetizioni 8"
											</t>
        </is>
      </c>
      <c r="N51" s="361" t="n"/>
      <c r="O51" s="312" t="n"/>
      <c r="P51" s="312" t="n"/>
      <c r="Q51" s="313" t="inlineStr">
        <is>
          <t xml:space="preserve"> Tra le ripetizioni 8"
											</t>
        </is>
      </c>
      <c r="T51" s="361" t="n"/>
      <c r="U51" s="312" t="n"/>
      <c r="V51" s="312" t="n"/>
      <c r="W51" s="313" t="inlineStr">
        <is>
          <t xml:space="preserve"> Tra le ripetizioni 8"
											</t>
        </is>
      </c>
      <c r="Z51" s="361" t="n"/>
      <c r="AA51" s="317" t="n"/>
      <c r="AB51" s="317" t="n"/>
      <c r="AC51" s="37" t="n"/>
    </row>
    <row r="52" ht="15.6" customHeight="1">
      <c r="C52" s="78" t="n"/>
      <c r="D52" s="80" t="n"/>
      <c r="E52" s="313" t="inlineStr">
        <is>
          <t xml:space="preserve"> Tra le serie 1'45"</t>
        </is>
      </c>
      <c r="H52" s="361" t="n"/>
      <c r="I52" s="312" t="n"/>
      <c r="J52" s="312" t="n"/>
      <c r="K52" s="313" t="inlineStr">
        <is>
          <t xml:space="preserve"> Tra le serie 1'45"</t>
        </is>
      </c>
      <c r="N52" s="361" t="n"/>
      <c r="O52" s="312" t="n"/>
      <c r="P52" s="312" t="n"/>
      <c r="Q52" s="313" t="inlineStr">
        <is>
          <t xml:space="preserve"> Tra le serie 1'45"</t>
        </is>
      </c>
      <c r="T52" s="361" t="n"/>
      <c r="U52" s="312" t="n"/>
      <c r="V52" s="312" t="n"/>
      <c r="W52" s="313" t="inlineStr">
        <is>
          <t xml:space="preserve"> Tra le serie 1'45"</t>
        </is>
      </c>
      <c r="Z52" s="361" t="n"/>
      <c r="AA52" s="312" t="n"/>
      <c r="AB52" s="312" t="n"/>
      <c r="AC52" s="37" t="n"/>
    </row>
    <row r="53">
      <c r="C53" s="78" t="n"/>
      <c r="D53" s="80" t="n"/>
      <c r="E53" s="312" t="n"/>
      <c r="F53" s="312" t="n"/>
      <c r="G53" s="312" t="n"/>
      <c r="H53" s="312" t="n"/>
      <c r="I53" s="312" t="n"/>
      <c r="J53" s="312" t="n"/>
      <c r="K53" s="312" t="n"/>
      <c r="L53" s="312" t="n"/>
      <c r="M53" s="312" t="n"/>
      <c r="N53" s="312" t="n"/>
      <c r="O53" s="312" t="n"/>
      <c r="P53" s="312" t="n"/>
      <c r="Q53" s="312" t="n"/>
      <c r="R53" s="312" t="n"/>
      <c r="S53" s="312" t="n"/>
      <c r="T53" s="312" t="n"/>
      <c r="U53" s="312" t="n"/>
      <c r="V53" s="312" t="n"/>
      <c r="W53" s="312" t="n"/>
      <c r="X53" s="312" t="n"/>
      <c r="Y53" s="312" t="n"/>
      <c r="Z53" s="312" t="n"/>
      <c r="AA53" s="312" t="n"/>
      <c r="AB53" s="312" t="n"/>
      <c r="AC53" s="37" t="n"/>
    </row>
    <row r="54">
      <c r="C54" s="78" t="n"/>
      <c r="D54" s="80" t="n"/>
      <c r="E54" s="312" t="n"/>
      <c r="F54" s="312" t="n"/>
      <c r="G54" s="312" t="n"/>
      <c r="H54" s="312" t="n"/>
      <c r="I54" s="312" t="n"/>
      <c r="J54" s="312" t="n"/>
      <c r="K54" s="312" t="n"/>
      <c r="L54" s="312" t="n"/>
      <c r="M54" s="312" t="n"/>
      <c r="N54" s="312" t="n"/>
      <c r="O54" s="312" t="n"/>
      <c r="P54" s="312" t="n"/>
      <c r="Q54" s="312" t="n"/>
      <c r="R54" s="312" t="n"/>
      <c r="S54" s="312" t="n"/>
      <c r="T54" s="312" t="n"/>
      <c r="U54" s="312" t="n"/>
      <c r="V54" s="312" t="n"/>
      <c r="W54" s="312" t="n"/>
      <c r="X54" s="312" t="n"/>
      <c r="Y54" s="312" t="n"/>
      <c r="Z54" s="312" t="n"/>
      <c r="AA54" s="312" t="n"/>
      <c r="AB54" s="312" t="n"/>
      <c r="AC54" s="37" t="n"/>
    </row>
    <row r="55">
      <c r="C55" s="78" t="n"/>
      <c r="D55" s="25" t="inlineStr">
        <is>
          <t>RESISTENZA</t>
        </is>
      </c>
      <c r="E55" s="308" t="inlineStr">
        <is>
          <t>Wk 5</t>
        </is>
      </c>
      <c r="H55" s="360" t="n"/>
      <c r="I55" s="308" t="n"/>
      <c r="J55" s="308" t="n"/>
      <c r="K55" s="308" t="inlineStr">
        <is>
          <t>Wk 6</t>
        </is>
      </c>
      <c r="N55" s="360" t="n"/>
      <c r="O55" s="308" t="n"/>
      <c r="P55" s="308" t="n"/>
      <c r="Q55" s="308" t="inlineStr">
        <is>
          <t>Wk 7</t>
        </is>
      </c>
      <c r="T55" s="360" t="n"/>
      <c r="U55" s="308" t="n"/>
      <c r="V55" s="308" t="n"/>
      <c r="W55" s="308" t="inlineStr">
        <is>
          <t>Wk 8</t>
        </is>
      </c>
      <c r="Z55" s="360" t="n"/>
      <c r="AA55" s="307" t="n"/>
      <c r="AB55" s="307" t="n"/>
      <c r="AC55" s="37" t="n"/>
    </row>
    <row r="56">
      <c r="C56" s="78" t="n"/>
      <c r="D56" s="74" t="inlineStr">
        <is>
          <t>Esercizio</t>
        </is>
      </c>
      <c r="E56" s="95" t="inlineStr">
        <is>
          <t>TEMPO</t>
        </is>
      </c>
      <c r="F56" s="34" t="inlineStr">
        <is>
          <t>REP</t>
        </is>
      </c>
      <c r="G56" s="95" t="inlineStr">
        <is>
          <t>SET</t>
        </is>
      </c>
      <c r="H56" s="73" t="inlineStr">
        <is>
          <t>CARICO</t>
        </is>
      </c>
      <c r="I56" s="140" t="inlineStr">
        <is>
          <t>Rest</t>
        </is>
      </c>
      <c r="J56" s="140" t="inlineStr">
        <is>
          <t>TUT es</t>
        </is>
      </c>
      <c r="K56" s="95" t="inlineStr">
        <is>
          <t>TEMPO</t>
        </is>
      </c>
      <c r="L56" s="34" t="inlineStr">
        <is>
          <t>REP</t>
        </is>
      </c>
      <c r="M56" s="95" t="inlineStr">
        <is>
          <t>SET</t>
        </is>
      </c>
      <c r="N56" s="73" t="inlineStr">
        <is>
          <t>CARICO</t>
        </is>
      </c>
      <c r="O56" s="140" t="inlineStr">
        <is>
          <t>Rest</t>
        </is>
      </c>
      <c r="P56" s="140" t="inlineStr">
        <is>
          <t>TUT es</t>
        </is>
      </c>
      <c r="Q56" s="95" t="inlineStr">
        <is>
          <t>TEMPO</t>
        </is>
      </c>
      <c r="R56" s="34" t="inlineStr">
        <is>
          <t>REP</t>
        </is>
      </c>
      <c r="S56" s="95" t="inlineStr">
        <is>
          <t>SET</t>
        </is>
      </c>
      <c r="T56" s="73" t="inlineStr">
        <is>
          <t>CARICO</t>
        </is>
      </c>
      <c r="U56" s="140" t="inlineStr">
        <is>
          <t>Rest</t>
        </is>
      </c>
      <c r="V56" s="140" t="inlineStr">
        <is>
          <t>TUT es</t>
        </is>
      </c>
      <c r="W56" s="95" t="inlineStr">
        <is>
          <t>TEMPO</t>
        </is>
      </c>
      <c r="X56" s="34" t="inlineStr">
        <is>
          <t>REP</t>
        </is>
      </c>
      <c r="Y56" s="95" t="inlineStr">
        <is>
          <t>SET</t>
        </is>
      </c>
      <c r="Z56" s="73" t="inlineStr">
        <is>
          <t>CARICO</t>
        </is>
      </c>
      <c r="AA56" s="140" t="inlineStr">
        <is>
          <t>Rest</t>
        </is>
      </c>
      <c r="AB56" s="140" t="inlineStr">
        <is>
          <t>TUT es</t>
        </is>
      </c>
      <c r="AC56" s="37" t="n"/>
    </row>
    <row r="57">
      <c r="C57" s="78" t="n"/>
      <c r="D57" s="79" t="inlineStr">
        <is>
          <t>1) Sospensione due mani multipresa</t>
        </is>
      </c>
      <c r="E57" s="94" t="n"/>
      <c r="F57" s="35" t="n"/>
      <c r="G57" s="94" t="n"/>
      <c r="H57" s="311" t="inlineStr">
        <is>
          <t>≥10</t>
        </is>
      </c>
      <c r="I57" t="n">
        <v>6</v>
      </c>
      <c r="J57" s="310">
        <f>(E57*F57)+(F57*I57)</f>
        <v/>
      </c>
      <c r="K57" s="94" t="n"/>
      <c r="L57" s="35" t="n"/>
      <c r="M57" s="94" t="n"/>
      <c r="N57" s="311" t="n"/>
      <c r="O57">
        <f>$I57</f>
        <v/>
      </c>
      <c r="P57" s="310">
        <f>(K57*L57)+(L57*O57)</f>
        <v/>
      </c>
      <c r="Q57" s="94" t="n"/>
      <c r="R57" s="35" t="n"/>
      <c r="S57" s="94" t="n"/>
      <c r="T57" s="311" t="n"/>
      <c r="U57">
        <f>$I57</f>
        <v/>
      </c>
      <c r="V57" s="310">
        <f>(Q57*R57)+(R57*U57)</f>
        <v/>
      </c>
      <c r="W57" s="94" t="n"/>
      <c r="X57" s="35" t="n"/>
      <c r="Y57" s="94" t="n"/>
      <c r="Z57" s="311" t="n"/>
      <c r="AA57">
        <f>$I57</f>
        <v/>
      </c>
      <c r="AB57" s="310">
        <f>(W57*X57)+(X57*AA57)</f>
        <v/>
      </c>
      <c r="AC57" s="37" t="n"/>
    </row>
    <row r="58">
      <c r="C58" s="78" t="n"/>
      <c r="D58" s="144" t="inlineStr">
        <is>
          <t>2) Sospensioni due mani multipresa</t>
        </is>
      </c>
      <c r="E58" s="145" t="n"/>
      <c r="F58" s="149" t="n"/>
      <c r="G58" s="145" t="n"/>
      <c r="H58" s="146" t="inlineStr">
        <is>
          <t>≥-10</t>
        </is>
      </c>
      <c r="I58" s="150" t="n">
        <v>5</v>
      </c>
      <c r="J58" s="147">
        <f>(E58*F58)+(F58*I58)</f>
        <v/>
      </c>
      <c r="K58" s="145" t="n"/>
      <c r="L58" s="149" t="n"/>
      <c r="M58" s="145" t="n"/>
      <c r="N58" s="146" t="n"/>
      <c r="O58" s="150">
        <f>$I58</f>
        <v/>
      </c>
      <c r="P58" s="147">
        <f>(K58*L58)+(L58*O58)</f>
        <v/>
      </c>
      <c r="Q58" s="145" t="n"/>
      <c r="R58" s="149" t="n"/>
      <c r="S58" s="145" t="n"/>
      <c r="T58" s="146" t="n"/>
      <c r="U58" s="150">
        <f>$I58</f>
        <v/>
      </c>
      <c r="V58" s="147">
        <f>(Q58*R58)+(R58*U58)</f>
        <v/>
      </c>
      <c r="W58" s="145" t="n"/>
      <c r="X58" s="149" t="n"/>
      <c r="Y58" s="145" t="n"/>
      <c r="Z58" s="146" t="n"/>
      <c r="AA58" s="150">
        <f>$I58</f>
        <v/>
      </c>
      <c r="AB58" s="147">
        <f>(W58*X58)+(X58*AA58)</f>
        <v/>
      </c>
      <c r="AC58" s="37" t="n"/>
    </row>
    <row r="59">
      <c r="C59" s="78" t="n"/>
      <c r="D59" s="142" t="inlineStr">
        <is>
          <t>Volume totale:</t>
        </is>
      </c>
      <c r="E59" s="311">
        <f t="array" ref="E59">SUMPRODUCT((E57:E58*F57:F58)*G57:G58)</f>
        <v/>
      </c>
      <c r="H59" s="361" t="n"/>
      <c r="J59" s="310">
        <f>(E59*F59)+(F59*I59)</f>
        <v/>
      </c>
      <c r="K59" s="311">
        <f t="array" ref="K59">SUMPRODUCT((K57:K58*L57:L58)*M57:M58)</f>
        <v/>
      </c>
      <c r="N59" s="361" t="n"/>
      <c r="P59" s="310">
        <f>(K59*L59)+(L59*O59)</f>
        <v/>
      </c>
      <c r="Q59" s="311">
        <f t="array" ref="Q59">SUMPRODUCT((Q57:Q58*R57:R58)*S57:S58)</f>
        <v/>
      </c>
      <c r="T59" s="361" t="n"/>
      <c r="V59" s="310">
        <f>(Q59*R59)+(R59*U59)</f>
        <v/>
      </c>
      <c r="W59" s="311">
        <f t="array" ref="W59">SUMPRODUCT((W57:W58*X57:X58)*Y57:Y58)</f>
        <v/>
      </c>
      <c r="Z59" s="361" t="n"/>
      <c r="AB59" s="310">
        <f>(W59*X59)+(X59*AA59)</f>
        <v/>
      </c>
      <c r="AC59" s="37" t="n"/>
    </row>
    <row r="60">
      <c r="C60" s="78" t="n"/>
      <c r="D60" s="143" t="n"/>
      <c r="E60" s="81" t="n"/>
      <c r="F60" s="310" t="n"/>
      <c r="G60" s="310" t="n"/>
      <c r="H60" s="311" t="n"/>
      <c r="K60" s="310" t="n"/>
      <c r="L60" s="310" t="n"/>
      <c r="M60" s="310" t="n"/>
      <c r="N60" s="311" t="n"/>
      <c r="Q60" s="310" t="n"/>
      <c r="R60" s="310" t="n"/>
      <c r="S60" s="310" t="n"/>
      <c r="T60" s="311" t="n"/>
      <c r="W60" s="81" t="n"/>
      <c r="X60" s="310" t="n"/>
      <c r="Y60" s="310" t="n"/>
      <c r="Z60" s="311" t="n"/>
      <c r="AC60" s="37" t="n"/>
    </row>
    <row r="61" ht="15.6" customHeight="1">
      <c r="C61" s="78" t="n"/>
      <c r="D61" s="142" t="inlineStr">
        <is>
          <t xml:space="preserve">Recupero:  </t>
        </is>
      </c>
      <c r="E61" s="306" t="inlineStr">
        <is>
          <t xml:space="preserve"> 1) Tra le ripetizioni 6"
											</t>
        </is>
      </c>
      <c r="H61" s="361" t="n"/>
      <c r="K61" s="306" t="inlineStr">
        <is>
          <t xml:space="preserve"> 1) Tra le ripetizioni 6"
											</t>
        </is>
      </c>
      <c r="N61" s="361" t="n"/>
      <c r="Q61" s="306" t="inlineStr">
        <is>
          <t xml:space="preserve"> 1) Tra le ripetizioni 6"
											</t>
        </is>
      </c>
      <c r="T61" s="361" t="n"/>
      <c r="W61" s="306" t="inlineStr">
        <is>
          <t xml:space="preserve"> 1) Tra le ripetizioni 6"
											</t>
        </is>
      </c>
      <c r="Z61" s="361" t="n"/>
      <c r="AC61" s="37" t="n"/>
    </row>
    <row r="62" ht="15.6" customHeight="1">
      <c r="C62" s="78" t="n"/>
      <c r="D62" s="80" t="n"/>
      <c r="E62" s="304" t="inlineStr">
        <is>
          <t xml:space="preserve"> Tra le serie 4-6'</t>
        </is>
      </c>
      <c r="H62" s="361" t="n"/>
      <c r="K62" s="304" t="inlineStr">
        <is>
          <t xml:space="preserve"> Tra le serie 4-6'</t>
        </is>
      </c>
      <c r="N62" s="361" t="n"/>
      <c r="Q62" s="304" t="inlineStr">
        <is>
          <t xml:space="preserve"> Tra le serie 4-6'</t>
        </is>
      </c>
      <c r="T62" s="361" t="n"/>
      <c r="W62" s="304" t="inlineStr">
        <is>
          <t xml:space="preserve"> Tra le serie 4-6'</t>
        </is>
      </c>
      <c r="Z62" s="361" t="n"/>
      <c r="AC62" s="37" t="n"/>
    </row>
    <row r="63" ht="15.6" customHeight="1">
      <c r="C63" s="78" t="n"/>
      <c r="D63" s="80" t="n"/>
      <c r="E63" s="304" t="inlineStr">
        <is>
          <t xml:space="preserve"> 2) Tra le ripetizioni 5"
											</t>
        </is>
      </c>
      <c r="H63" s="361" t="n"/>
      <c r="K63" s="304" t="inlineStr">
        <is>
          <t xml:space="preserve"> 2) Tra le ripetizioni 5"
											</t>
        </is>
      </c>
      <c r="N63" s="361" t="n"/>
      <c r="Q63" s="304" t="inlineStr">
        <is>
          <t xml:space="preserve"> 2) Tra le ripetizioni 5"
											</t>
        </is>
      </c>
      <c r="T63" s="361" t="n"/>
      <c r="W63" s="304" t="inlineStr">
        <is>
          <t xml:space="preserve"> 2) Tra le ripetizioni 5"
											</t>
        </is>
      </c>
      <c r="Z63" s="361" t="n"/>
      <c r="AC63" s="37" t="n"/>
    </row>
    <row r="64" ht="15.6" customHeight="1">
      <c r="C64" s="78" t="n"/>
      <c r="D64" s="80" t="n"/>
      <c r="E64" s="304" t="inlineStr">
        <is>
          <t xml:space="preserve"> Tra le serie 5-7'</t>
        </is>
      </c>
      <c r="H64" s="361" t="n"/>
      <c r="K64" s="304" t="inlineStr">
        <is>
          <t xml:space="preserve"> Tra le serie 5-7'</t>
        </is>
      </c>
      <c r="N64" s="361" t="n"/>
      <c r="Q64" s="304" t="inlineStr">
        <is>
          <t xml:space="preserve"> Tra le serie 5-7'</t>
        </is>
      </c>
      <c r="T64" s="361" t="n"/>
      <c r="W64" s="304" t="inlineStr">
        <is>
          <t xml:space="preserve"> Tra le serie 5-7'</t>
        </is>
      </c>
      <c r="Z64" s="361" t="n"/>
      <c r="AC64" s="39" t="n"/>
    </row>
    <row r="65">
      <c r="C65" s="78" t="n"/>
      <c r="D65" s="80" t="n"/>
      <c r="E65" s="312" t="n"/>
      <c r="F65" s="312" t="n"/>
      <c r="G65" s="312" t="n"/>
      <c r="H65" s="312" t="n"/>
      <c r="I65" s="312" t="n"/>
      <c r="J65" s="312" t="n"/>
      <c r="K65" s="312" t="n"/>
      <c r="L65" s="312" t="n"/>
      <c r="M65" s="312" t="n"/>
      <c r="N65" s="312" t="n"/>
      <c r="O65" s="312" t="n"/>
      <c r="P65" s="312" t="n"/>
      <c r="Q65" s="312" t="n"/>
      <c r="R65" s="312" t="n"/>
      <c r="S65" s="312" t="n"/>
      <c r="T65" s="312" t="n"/>
      <c r="U65" s="312" t="n"/>
      <c r="V65" s="312" t="n"/>
      <c r="W65" s="312" t="n"/>
      <c r="X65" s="312" t="n"/>
      <c r="Y65" s="312" t="n"/>
      <c r="Z65" s="312" t="n"/>
      <c r="AA65" s="312" t="n"/>
      <c r="AB65" s="312" t="n"/>
      <c r="AC65" s="37" t="n"/>
    </row>
    <row r="66">
      <c r="C66" s="78" t="n"/>
      <c r="D66" s="81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9" t="n"/>
    </row>
    <row r="67">
      <c r="C67" s="78" t="n"/>
      <c r="D67" s="319" t="inlineStr">
        <is>
          <t>Esegui le sospensioni senza arrivare mai allo sfinimento (tranne nell'AMRAP), nel caso siano facili aumenta la zavorra</t>
        </is>
      </c>
      <c r="X67" s="40" t="n"/>
      <c r="Y67" s="40" t="n"/>
      <c r="Z67" s="40" t="n"/>
      <c r="AA67" s="40" t="n"/>
      <c r="AB67" s="40" t="n"/>
      <c r="AC67" s="41" t="n"/>
    </row>
    <row r="68" ht="14.45" customHeight="1">
      <c r="C68" s="78" t="n"/>
      <c r="D68" s="319" t="inlineStr">
        <is>
          <t>Esegui l'AMRAP entrambi i giorni di allenamento recuperando 3' prima di farlo</t>
        </is>
      </c>
      <c r="R68" s="319" t="n"/>
      <c r="S68" s="319" t="n"/>
      <c r="T68" s="319" t="n"/>
      <c r="U68" s="319" t="n"/>
      <c r="V68" s="319" t="n"/>
      <c r="W68" s="319" t="n"/>
      <c r="X68" s="40" t="n"/>
      <c r="Y68" s="40" t="n"/>
      <c r="Z68" s="40" t="n"/>
      <c r="AA68" s="40" t="n"/>
      <c r="AB68" s="40" t="n"/>
      <c r="AC68" s="41" t="n"/>
    </row>
    <row r="69" ht="15.75" customHeight="1" thickBot="1">
      <c r="C69" s="82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315">
        <f>$Y$35+28</f>
        <v/>
      </c>
      <c r="Z69" s="9" t="n"/>
      <c r="AA69" s="9" t="n"/>
      <c r="AB69" s="9" t="n"/>
      <c r="AC69" s="362" t="n"/>
    </row>
    <row r="70" ht="15.75" customHeight="1" thickTop="1">
      <c r="C70" s="328" t="n"/>
      <c r="D70" s="84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42" t="n"/>
      <c r="X70" s="42" t="n"/>
      <c r="Y70" s="42" t="n"/>
      <c r="Z70" s="42" t="n"/>
      <c r="AA70" s="42" t="n"/>
      <c r="AB70" s="42" t="n"/>
      <c r="AC70" s="42" t="n"/>
    </row>
    <row r="71">
      <c r="C71" s="328" t="n"/>
      <c r="D71" s="84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</row>
    <row r="72"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</row>
    <row r="73"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</row>
    <row r="74" ht="15.75" customHeight="1" thickBot="1">
      <c r="C74" s="25" t="inlineStr">
        <is>
          <t>WEEK 9-12</t>
        </is>
      </c>
      <c r="D74" s="81" t="n"/>
      <c r="E74" s="12" t="n"/>
      <c r="F74" s="12" t="n"/>
      <c r="G74" s="27" t="n"/>
      <c r="H74" s="27" t="n"/>
      <c r="I74" s="141" t="n"/>
      <c r="J74" s="141" t="n"/>
      <c r="K74" s="12" t="n"/>
      <c r="L74" s="320">
        <f>$L$3</f>
        <v/>
      </c>
      <c r="M74" s="9" t="n"/>
      <c r="N74" s="28" t="n"/>
      <c r="O74" s="28" t="n"/>
      <c r="P74" s="28" t="n"/>
      <c r="Q74" s="28" t="n"/>
      <c r="R74" s="12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348">
        <f>$AC$3</f>
        <v/>
      </c>
    </row>
    <row r="75" ht="40.15" customHeight="1" thickBot="1" thickTop="1">
      <c r="C75" s="321" t="n"/>
      <c r="D75" s="357" t="n"/>
      <c r="E75" s="357" t="n"/>
      <c r="F75" s="357" t="n"/>
      <c r="G75" s="357" t="n"/>
      <c r="H75" s="357" t="n"/>
      <c r="I75" s="357" t="n"/>
      <c r="J75" s="357" t="n"/>
      <c r="K75" s="357" t="n"/>
      <c r="L75" s="357" t="n"/>
      <c r="M75" s="357" t="n"/>
      <c r="N75" s="357" t="n"/>
      <c r="O75" s="357" t="n"/>
      <c r="P75" s="357" t="n"/>
      <c r="Q75" s="357" t="n"/>
      <c r="R75" s="357" t="n"/>
      <c r="S75" s="357" t="n"/>
      <c r="T75" s="357" t="n"/>
      <c r="U75" s="357" t="n"/>
      <c r="V75" s="357" t="n"/>
      <c r="W75" s="357" t="n"/>
      <c r="X75" s="357" t="n"/>
      <c r="Y75" s="357" t="n"/>
      <c r="Z75" s="324">
        <f>$AC$4</f>
        <v/>
      </c>
      <c r="AA75" s="357" t="n"/>
      <c r="AB75" s="357" t="n"/>
      <c r="AC75" s="359" t="n"/>
    </row>
    <row r="76" ht="19.5" customHeight="1" thickBot="1" thickTop="1">
      <c r="C76" s="358" t="inlineStr">
        <is>
          <t>DATA - SOSPENSIONI</t>
        </is>
      </c>
      <c r="D76" s="357" t="n"/>
      <c r="E76" s="357" t="n"/>
      <c r="F76" s="357" t="n"/>
      <c r="G76" s="357" t="n"/>
      <c r="H76" s="357" t="n"/>
      <c r="I76" s="357" t="n"/>
      <c r="J76" s="357" t="n"/>
      <c r="K76" s="357" t="n"/>
      <c r="L76" s="357" t="n"/>
      <c r="M76" s="357" t="n"/>
      <c r="N76" s="357" t="n"/>
      <c r="O76" s="357" t="n"/>
      <c r="P76" s="357" t="n"/>
      <c r="Q76" s="357" t="n"/>
      <c r="R76" s="357" t="n"/>
      <c r="S76" s="357" t="n"/>
      <c r="T76" s="357" t="n"/>
      <c r="U76" s="357" t="n"/>
      <c r="V76" s="357" t="n"/>
      <c r="W76" s="357" t="n"/>
      <c r="X76" s="357" t="n"/>
      <c r="Y76" s="357" t="n"/>
      <c r="Z76" s="357" t="n"/>
      <c r="AA76" s="357" t="n"/>
      <c r="AB76" s="357" t="n"/>
      <c r="AC76" s="359" t="n"/>
    </row>
    <row r="77" ht="15.75" customHeight="1" thickTop="1">
      <c r="C77" s="75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  <c r="Z77" s="76" t="n"/>
      <c r="AA77" s="76" t="n"/>
      <c r="AB77" s="76" t="n"/>
      <c r="AC77" s="77" t="n"/>
    </row>
    <row r="78">
      <c r="C78" s="78" t="n"/>
      <c r="D78" s="81" t="inlineStr">
        <is>
          <t>FORZA</t>
        </is>
      </c>
      <c r="E78" s="308" t="inlineStr">
        <is>
          <t>Wk 9</t>
        </is>
      </c>
      <c r="H78" s="360" t="n"/>
      <c r="I78" s="307" t="n"/>
      <c r="J78" s="307" t="n"/>
      <c r="K78" s="316" t="inlineStr">
        <is>
          <t>Wk 10</t>
        </is>
      </c>
      <c r="N78" s="360" t="n"/>
      <c r="O78" s="307" t="n"/>
      <c r="P78" s="307" t="n"/>
      <c r="Q78" s="316" t="inlineStr">
        <is>
          <t>Wk 11</t>
        </is>
      </c>
      <c r="T78" s="360" t="n"/>
      <c r="U78" s="307" t="n"/>
      <c r="V78" s="307" t="n"/>
      <c r="W78" s="316" t="inlineStr">
        <is>
          <t>Wk 12</t>
        </is>
      </c>
      <c r="Z78" s="360" t="n"/>
      <c r="AA78" s="307" t="n"/>
      <c r="AB78" s="307" t="n"/>
      <c r="AC78" s="48" t="n"/>
    </row>
    <row r="79">
      <c r="C79" s="78" t="n"/>
      <c r="D79" s="74" t="inlineStr">
        <is>
          <t>Esercizio</t>
        </is>
      </c>
      <c r="E79" s="95" t="inlineStr">
        <is>
          <t>TEMPO</t>
        </is>
      </c>
      <c r="F79" s="34" t="inlineStr">
        <is>
          <t>REP</t>
        </is>
      </c>
      <c r="G79" s="95" t="inlineStr">
        <is>
          <t>SET</t>
        </is>
      </c>
      <c r="H79" s="73" t="inlineStr">
        <is>
          <t>CARICO</t>
        </is>
      </c>
      <c r="I79" s="140" t="inlineStr">
        <is>
          <t>Rest</t>
        </is>
      </c>
      <c r="J79" s="140" t="inlineStr">
        <is>
          <t>TUT es</t>
        </is>
      </c>
      <c r="K79" s="95" t="inlineStr">
        <is>
          <t>TEMPO</t>
        </is>
      </c>
      <c r="L79" s="34" t="inlineStr">
        <is>
          <t>REP</t>
        </is>
      </c>
      <c r="M79" s="95" t="inlineStr">
        <is>
          <t>SET</t>
        </is>
      </c>
      <c r="N79" s="73" t="inlineStr">
        <is>
          <t>CARICO</t>
        </is>
      </c>
      <c r="O79" s="140" t="inlineStr">
        <is>
          <t>Rest</t>
        </is>
      </c>
      <c r="P79" s="140" t="inlineStr">
        <is>
          <t>TUT es</t>
        </is>
      </c>
      <c r="Q79" s="95" t="inlineStr">
        <is>
          <t>TEMPO</t>
        </is>
      </c>
      <c r="R79" s="34" t="inlineStr">
        <is>
          <t>REP</t>
        </is>
      </c>
      <c r="S79" s="95" t="inlineStr">
        <is>
          <t>SET</t>
        </is>
      </c>
      <c r="T79" s="73" t="inlineStr">
        <is>
          <t>CARICO</t>
        </is>
      </c>
      <c r="U79" s="140" t="inlineStr">
        <is>
          <t>Rest</t>
        </is>
      </c>
      <c r="V79" s="140" t="inlineStr">
        <is>
          <t>TUT es</t>
        </is>
      </c>
      <c r="W79" s="95" t="inlineStr">
        <is>
          <t>TEMPO</t>
        </is>
      </c>
      <c r="X79" s="34" t="inlineStr">
        <is>
          <t>REP</t>
        </is>
      </c>
      <c r="Y79" s="95" t="inlineStr">
        <is>
          <t>SET</t>
        </is>
      </c>
      <c r="Z79" s="73" t="inlineStr">
        <is>
          <t>CARICO</t>
        </is>
      </c>
      <c r="AA79" s="140" t="inlineStr">
        <is>
          <t>Rest</t>
        </is>
      </c>
      <c r="AB79" s="140" t="inlineStr">
        <is>
          <t>TUT es</t>
        </is>
      </c>
      <c r="AC79" s="33" t="n"/>
    </row>
    <row r="80">
      <c r="C80" s="78" t="n"/>
      <c r="D80" s="79" t="inlineStr">
        <is>
          <t>Sospensioni due mani</t>
        </is>
      </c>
      <c r="E80" s="94" t="n"/>
      <c r="F80" s="35" t="n"/>
      <c r="G80" s="94" t="n"/>
      <c r="H80" s="148" t="n"/>
      <c r="I80" s="310" t="n"/>
      <c r="J80" s="310">
        <f>(E80*F80)+(F80*I80)</f>
        <v/>
      </c>
      <c r="K80" s="94" t="n"/>
      <c r="L80" s="35" t="n"/>
      <c r="M80" s="94" t="n"/>
      <c r="N80" s="148" t="n"/>
      <c r="O80">
        <f>$I80</f>
        <v/>
      </c>
      <c r="P80" s="310">
        <f>(K80*L80)+(L80*O80)</f>
        <v/>
      </c>
      <c r="Q80" s="94" t="n"/>
      <c r="R80" s="35" t="n"/>
      <c r="S80" s="94" t="n"/>
      <c r="T80" s="148" t="n"/>
      <c r="U80">
        <f>$I80</f>
        <v/>
      </c>
      <c r="V80" s="310">
        <f>(Q80*R80)+(R80*U80)</f>
        <v/>
      </c>
      <c r="W80" s="94" t="n"/>
      <c r="X80" s="35" t="n"/>
      <c r="Y80" s="94" t="n"/>
      <c r="Z80" s="148" t="n"/>
      <c r="AA80">
        <f>$I80</f>
        <v/>
      </c>
      <c r="AB80" s="310">
        <f>(W80*X80)+(X80*AA80)</f>
        <v/>
      </c>
      <c r="AC80" s="33" t="n"/>
    </row>
    <row r="81" ht="16.15" customHeight="1">
      <c r="C81" s="78" t="n"/>
      <c r="D81" s="144" t="inlineStr">
        <is>
          <t>Sospensioni bidito</t>
        </is>
      </c>
      <c r="E81" s="145" t="n"/>
      <c r="F81" s="145" t="n"/>
      <c r="G81" s="145" t="n"/>
      <c r="H81" s="151" t="n"/>
      <c r="I81" s="147" t="n"/>
      <c r="J81" s="147">
        <f>(E81*F81)+(F81*I81)</f>
        <v/>
      </c>
      <c r="K81" s="145" t="n"/>
      <c r="L81" s="145" t="n"/>
      <c r="M81" s="145" t="n"/>
      <c r="N81" s="151" t="n"/>
      <c r="O81" s="150">
        <f>$I81</f>
        <v/>
      </c>
      <c r="P81" s="147">
        <f>(K81*L81)+(L81*O81)</f>
        <v/>
      </c>
      <c r="Q81" s="145" t="n"/>
      <c r="R81" s="145" t="n"/>
      <c r="S81" s="145" t="n"/>
      <c r="T81" s="151" t="n"/>
      <c r="U81" s="150">
        <f>$I81</f>
        <v/>
      </c>
      <c r="V81" s="147">
        <f>(Q81*R81)+(R81*U81)</f>
        <v/>
      </c>
      <c r="W81" s="145" t="n"/>
      <c r="X81" s="145" t="n"/>
      <c r="Y81" s="145" t="n"/>
      <c r="Z81" s="151" t="n"/>
      <c r="AA81" s="150">
        <f>$I81</f>
        <v/>
      </c>
      <c r="AB81" s="147">
        <f>(W81*X81)+(X81*AA81)</f>
        <v/>
      </c>
      <c r="AC81" s="33" t="n"/>
      <c r="AD81" s="25" t="n"/>
      <c r="AE81" s="25" t="n"/>
      <c r="AF81" s="25" t="n"/>
    </row>
    <row r="82">
      <c r="C82" s="78" t="n"/>
      <c r="D82" s="79" t="inlineStr">
        <is>
          <t>Sospensioni svase</t>
        </is>
      </c>
      <c r="E82" s="310" t="n"/>
      <c r="F82" s="94" t="n"/>
      <c r="G82" s="94" t="n"/>
      <c r="H82" s="148" t="n"/>
      <c r="I82" s="310" t="n"/>
      <c r="J82" s="310">
        <f>(E82*F82)+(F82*I82)</f>
        <v/>
      </c>
      <c r="K82" s="310" t="n"/>
      <c r="L82" s="94" t="n"/>
      <c r="M82" s="94" t="n"/>
      <c r="N82" s="148" t="n"/>
      <c r="O82">
        <f>$I82</f>
        <v/>
      </c>
      <c r="P82" s="310">
        <f>(K82*L82)+(L82*O82)</f>
        <v/>
      </c>
      <c r="Q82" s="310" t="n"/>
      <c r="R82" s="94" t="n"/>
      <c r="S82" s="94" t="n"/>
      <c r="T82" s="148" t="n"/>
      <c r="U82">
        <f>$I82</f>
        <v/>
      </c>
      <c r="V82" s="310">
        <f>(Q82*R82)+(R82*U82)</f>
        <v/>
      </c>
      <c r="W82" s="310" t="n"/>
      <c r="X82" s="94" t="n"/>
      <c r="Y82" s="94" t="n"/>
      <c r="Z82" s="148" t="n"/>
      <c r="AA82">
        <f>$I82</f>
        <v/>
      </c>
      <c r="AB82" s="310">
        <f>(W82*X82)+(X82*AA82)</f>
        <v/>
      </c>
      <c r="AC82" s="33" t="n"/>
      <c r="AD82" s="7" t="n"/>
    </row>
    <row r="83">
      <c r="C83" s="78" t="n"/>
      <c r="D83" s="144" t="inlineStr">
        <is>
          <t>Sospensione due mani</t>
        </is>
      </c>
      <c r="E83" s="179" t="inlineStr">
        <is>
          <t>AMRAP</t>
        </is>
      </c>
      <c r="F83" s="145" t="n">
        <v>1</v>
      </c>
      <c r="G83" s="145" t="n">
        <v>1</v>
      </c>
      <c r="H83" s="146" t="n"/>
      <c r="I83" s="147" t="n"/>
      <c r="J83" s="147" t="n"/>
      <c r="K83" s="179" t="inlineStr">
        <is>
          <t>AMRAP</t>
        </is>
      </c>
      <c r="L83" s="145" t="n">
        <v>1</v>
      </c>
      <c r="M83" s="145" t="n">
        <v>1</v>
      </c>
      <c r="N83" s="146" t="n"/>
      <c r="O83" s="147" t="n"/>
      <c r="P83" s="147" t="n"/>
      <c r="Q83" s="179" t="inlineStr">
        <is>
          <t>AMRAP</t>
        </is>
      </c>
      <c r="R83" s="145" t="n">
        <v>1</v>
      </c>
      <c r="S83" s="145" t="n">
        <v>1</v>
      </c>
      <c r="T83" s="146" t="n"/>
      <c r="U83" s="147" t="n"/>
      <c r="V83" s="147" t="n"/>
      <c r="W83" s="179" t="inlineStr">
        <is>
          <t>AMRAP</t>
        </is>
      </c>
      <c r="X83" s="145" t="n">
        <v>1</v>
      </c>
      <c r="Y83" s="145" t="n">
        <v>1</v>
      </c>
      <c r="Z83" s="146" t="n"/>
      <c r="AA83" s="147" t="n"/>
      <c r="AB83" s="147" t="n"/>
      <c r="AC83" s="33" t="n"/>
    </row>
    <row r="84">
      <c r="C84" s="78" t="n"/>
      <c r="D84" s="80" t="inlineStr">
        <is>
          <t>Volume totale:</t>
        </is>
      </c>
      <c r="E84" s="311">
        <f t="array" ref="E84">SUMPRODUCT((E80:E82*F80:F82)*G80:G82)</f>
        <v/>
      </c>
      <c r="H84" s="361" t="n"/>
      <c r="I84" s="310" t="n"/>
      <c r="J84" s="310" t="n"/>
      <c r="K84" s="311">
        <f t="array" ref="K84">SUMPRODUCT((K80:K82*L80:L82)*M80:M82)</f>
        <v/>
      </c>
      <c r="N84" s="361" t="n"/>
      <c r="O84" s="310" t="n"/>
      <c r="P84" s="310" t="n"/>
      <c r="Q84" s="311">
        <f t="array" ref="Q84">SUMPRODUCT((Q80:Q82*R80:R82)*S80:S82)</f>
        <v/>
      </c>
      <c r="T84" s="361" t="n"/>
      <c r="U84" s="310" t="n"/>
      <c r="V84" s="310" t="n"/>
      <c r="W84" s="311">
        <f t="array" ref="W84">SUMPRODUCT((W80:W82*X80:X82)*Y80:Y82)</f>
        <v/>
      </c>
      <c r="Z84" s="361" t="n"/>
      <c r="AA84" s="310" t="n"/>
      <c r="AB84" s="310" t="n"/>
      <c r="AC84" s="33" t="n"/>
    </row>
    <row r="85" ht="15.6" customHeight="1">
      <c r="C85" s="78" t="n"/>
      <c r="D85" s="80" t="n"/>
      <c r="E85" s="81" t="n"/>
      <c r="F85" s="310" t="n"/>
      <c r="G85" s="310" t="n"/>
      <c r="H85" s="311" t="n"/>
      <c r="I85" s="310" t="n"/>
      <c r="J85" s="310" t="n"/>
      <c r="K85" s="310" t="n"/>
      <c r="L85" s="310" t="n"/>
      <c r="M85" s="310" t="n"/>
      <c r="N85" s="311" t="n"/>
      <c r="O85" s="310" t="n"/>
      <c r="P85" s="310" t="n"/>
      <c r="Q85" s="310" t="n"/>
      <c r="R85" s="310" t="n"/>
      <c r="S85" s="310" t="n"/>
      <c r="T85" s="311" t="n"/>
      <c r="U85" s="310" t="n"/>
      <c r="V85" s="310" t="n"/>
      <c r="W85" s="81" t="n"/>
      <c r="X85" s="310" t="n"/>
      <c r="Y85" s="310" t="n"/>
      <c r="Z85" s="311" t="n"/>
      <c r="AA85" s="310" t="n"/>
      <c r="AB85" s="310" t="n"/>
      <c r="AC85" s="48" t="n"/>
    </row>
    <row r="86" ht="15.6" customHeight="1">
      <c r="C86" s="78" t="n"/>
      <c r="D86" s="80" t="inlineStr">
        <is>
          <t xml:space="preserve">Recupero:  </t>
        </is>
      </c>
      <c r="E86" s="313" t="inlineStr">
        <is>
          <t xml:space="preserve"> Tra le ripetizioni 8"
											</t>
        </is>
      </c>
      <c r="H86" s="361" t="n"/>
      <c r="I86" s="312" t="n"/>
      <c r="J86" s="312" t="n"/>
      <c r="K86" s="313" t="inlineStr">
        <is>
          <t xml:space="preserve"> Tra le ripetizioni 8"
											</t>
        </is>
      </c>
      <c r="N86" s="361" t="n"/>
      <c r="O86" s="312" t="n"/>
      <c r="P86" s="312" t="n"/>
      <c r="Q86" s="313" t="inlineStr">
        <is>
          <t xml:space="preserve"> Tra le ripetizioni 8"
											</t>
        </is>
      </c>
      <c r="T86" s="361" t="n"/>
      <c r="U86" s="312" t="n"/>
      <c r="V86" s="312" t="n"/>
      <c r="W86" s="313" t="inlineStr">
        <is>
          <t xml:space="preserve"> Tra le ripetizioni 8"
											</t>
        </is>
      </c>
      <c r="Z86" s="361" t="n"/>
      <c r="AA86" s="317" t="n"/>
      <c r="AB86" s="317" t="n"/>
      <c r="AC86" s="37" t="n"/>
    </row>
    <row r="87" ht="15.6" customHeight="1">
      <c r="C87" s="78" t="n"/>
      <c r="D87" s="80" t="n"/>
      <c r="E87" s="313" t="inlineStr">
        <is>
          <t xml:space="preserve"> Tra le serie 1'45"</t>
        </is>
      </c>
      <c r="H87" s="361" t="n"/>
      <c r="I87" s="312" t="n"/>
      <c r="J87" s="312" t="n"/>
      <c r="K87" s="313" t="inlineStr">
        <is>
          <t xml:space="preserve"> Tra le serie 1'45"</t>
        </is>
      </c>
      <c r="N87" s="361" t="n"/>
      <c r="O87" s="312" t="n"/>
      <c r="P87" s="312" t="n"/>
      <c r="Q87" s="313" t="inlineStr">
        <is>
          <t xml:space="preserve"> Tra le serie 1'45"</t>
        </is>
      </c>
      <c r="T87" s="361" t="n"/>
      <c r="U87" s="312" t="n"/>
      <c r="V87" s="312" t="n"/>
      <c r="W87" s="313" t="inlineStr">
        <is>
          <t xml:space="preserve"> Tra le serie 1'45"</t>
        </is>
      </c>
      <c r="Z87" s="361" t="n"/>
      <c r="AA87" s="312" t="n"/>
      <c r="AB87" s="312" t="n"/>
      <c r="AC87" s="37" t="n"/>
    </row>
    <row r="88">
      <c r="C88" s="78" t="n"/>
      <c r="D88" s="80" t="n"/>
      <c r="E88" s="312" t="n"/>
      <c r="F88" s="312" t="n"/>
      <c r="G88" s="312" t="n"/>
      <c r="H88" s="312" t="n"/>
      <c r="I88" s="312" t="n"/>
      <c r="J88" s="312" t="n"/>
      <c r="K88" s="312" t="n"/>
      <c r="L88" s="312" t="n"/>
      <c r="M88" s="312" t="n"/>
      <c r="N88" s="312" t="n"/>
      <c r="O88" s="312" t="n"/>
      <c r="P88" s="312" t="n"/>
      <c r="Q88" s="312" t="n"/>
      <c r="R88" s="312" t="n"/>
      <c r="S88" s="312" t="n"/>
      <c r="T88" s="312" t="n"/>
      <c r="U88" s="312" t="n"/>
      <c r="V88" s="312" t="n"/>
      <c r="W88" s="312" t="n"/>
      <c r="X88" s="312" t="n"/>
      <c r="Y88" s="312" t="n"/>
      <c r="Z88" s="312" t="n"/>
      <c r="AA88" s="312" t="n"/>
      <c r="AB88" s="312" t="n"/>
      <c r="AC88" s="37" t="n"/>
    </row>
    <row r="89">
      <c r="C89" s="78" t="n"/>
      <c r="D89" s="80" t="n"/>
      <c r="E89" s="312" t="n"/>
      <c r="F89" s="312" t="n"/>
      <c r="G89" s="312" t="n"/>
      <c r="H89" s="312" t="n"/>
      <c r="I89" s="312" t="n"/>
      <c r="J89" s="312" t="n"/>
      <c r="K89" s="312" t="n"/>
      <c r="L89" s="312" t="n"/>
      <c r="M89" s="312" t="n"/>
      <c r="N89" s="312" t="n"/>
      <c r="O89" s="312" t="n"/>
      <c r="P89" s="312" t="n"/>
      <c r="Q89" s="312" t="n"/>
      <c r="R89" s="312" t="n"/>
      <c r="S89" s="312" t="n"/>
      <c r="T89" s="312" t="n"/>
      <c r="U89" s="312" t="n"/>
      <c r="V89" s="312" t="n"/>
      <c r="W89" s="312" t="n"/>
      <c r="X89" s="312" t="n"/>
      <c r="Y89" s="312" t="n"/>
      <c r="Z89" s="312" t="n"/>
      <c r="AA89" s="312" t="n"/>
      <c r="AB89" s="312" t="n"/>
      <c r="AC89" s="37" t="n"/>
    </row>
    <row r="90">
      <c r="C90" s="78" t="n"/>
      <c r="D90" s="25" t="inlineStr">
        <is>
          <t>RESISTENZA</t>
        </is>
      </c>
      <c r="E90" s="308" t="inlineStr">
        <is>
          <t>Wk 9</t>
        </is>
      </c>
      <c r="H90" s="360" t="n"/>
      <c r="I90" s="307" t="n"/>
      <c r="J90" s="307" t="n"/>
      <c r="K90" s="316" t="inlineStr">
        <is>
          <t>Wk 10</t>
        </is>
      </c>
      <c r="N90" s="360" t="n"/>
      <c r="O90" s="307" t="n"/>
      <c r="P90" s="307" t="n"/>
      <c r="Q90" s="316" t="inlineStr">
        <is>
          <t>Wk 11</t>
        </is>
      </c>
      <c r="T90" s="360" t="n"/>
      <c r="U90" s="307" t="n"/>
      <c r="V90" s="307" t="n"/>
      <c r="W90" s="316" t="inlineStr">
        <is>
          <t>Wk 12</t>
        </is>
      </c>
      <c r="Z90" s="360" t="n"/>
      <c r="AA90" s="307" t="n"/>
      <c r="AB90" s="307" t="n"/>
      <c r="AC90" s="37" t="n"/>
    </row>
    <row r="91">
      <c r="C91" s="78" t="n"/>
      <c r="D91" s="74" t="inlineStr">
        <is>
          <t>Esercizio</t>
        </is>
      </c>
      <c r="E91" s="95" t="inlineStr">
        <is>
          <t>TEMPO</t>
        </is>
      </c>
      <c r="F91" s="34" t="inlineStr">
        <is>
          <t>REP</t>
        </is>
      </c>
      <c r="G91" s="95" t="inlineStr">
        <is>
          <t>SET</t>
        </is>
      </c>
      <c r="H91" s="73" t="inlineStr">
        <is>
          <t>CARICO</t>
        </is>
      </c>
      <c r="I91" s="140" t="inlineStr">
        <is>
          <t>Rest</t>
        </is>
      </c>
      <c r="J91" s="140" t="inlineStr">
        <is>
          <t>TUT es</t>
        </is>
      </c>
      <c r="K91" s="95" t="inlineStr">
        <is>
          <t>TEMPO</t>
        </is>
      </c>
      <c r="L91" s="34" t="inlineStr">
        <is>
          <t>REP</t>
        </is>
      </c>
      <c r="M91" s="95" t="inlineStr">
        <is>
          <t>SET</t>
        </is>
      </c>
      <c r="N91" s="73" t="inlineStr">
        <is>
          <t>CARICO</t>
        </is>
      </c>
      <c r="O91" s="140" t="inlineStr">
        <is>
          <t>Rest</t>
        </is>
      </c>
      <c r="P91" s="140" t="inlineStr">
        <is>
          <t>TUT es</t>
        </is>
      </c>
      <c r="Q91" s="95" t="inlineStr">
        <is>
          <t>TEMPO</t>
        </is>
      </c>
      <c r="R91" s="34" t="inlineStr">
        <is>
          <t>REP</t>
        </is>
      </c>
      <c r="S91" s="95" t="inlineStr">
        <is>
          <t>SET</t>
        </is>
      </c>
      <c r="T91" s="73" t="inlineStr">
        <is>
          <t>CARICO</t>
        </is>
      </c>
      <c r="U91" s="140" t="inlineStr">
        <is>
          <t>Rest</t>
        </is>
      </c>
      <c r="V91" s="140" t="inlineStr">
        <is>
          <t>TUT es</t>
        </is>
      </c>
      <c r="W91" s="95" t="inlineStr">
        <is>
          <t>TEMPO</t>
        </is>
      </c>
      <c r="X91" s="34" t="inlineStr">
        <is>
          <t>REP</t>
        </is>
      </c>
      <c r="Y91" s="95" t="inlineStr">
        <is>
          <t>SET</t>
        </is>
      </c>
      <c r="Z91" s="73" t="inlineStr">
        <is>
          <t>CARICO</t>
        </is>
      </c>
      <c r="AA91" s="140" t="inlineStr">
        <is>
          <t>Rest</t>
        </is>
      </c>
      <c r="AB91" s="140" t="inlineStr">
        <is>
          <t>TUT es</t>
        </is>
      </c>
      <c r="AC91" s="37" t="n"/>
    </row>
    <row r="92">
      <c r="C92" s="78" t="n"/>
      <c r="D92" s="79" t="inlineStr">
        <is>
          <t>1) Sospensione due mani multipresa</t>
        </is>
      </c>
      <c r="E92" s="94" t="n"/>
      <c r="F92" s="35" t="n"/>
      <c r="G92" s="94" t="n"/>
      <c r="H92" s="311" t="inlineStr">
        <is>
          <t>≥10</t>
        </is>
      </c>
      <c r="I92" t="n">
        <v>6</v>
      </c>
      <c r="J92" s="310">
        <f>(E92*F92)+(F92*I92)</f>
        <v/>
      </c>
      <c r="K92" s="94" t="n"/>
      <c r="L92" s="35" t="n"/>
      <c r="M92" s="94" t="n"/>
      <c r="N92" s="311" t="n"/>
      <c r="O92">
        <f>$I92</f>
        <v/>
      </c>
      <c r="P92" s="310">
        <f>(K92*L92)+(L92*O92)</f>
        <v/>
      </c>
      <c r="Q92" s="94" t="n"/>
      <c r="R92" s="35" t="n"/>
      <c r="S92" s="94" t="n"/>
      <c r="T92" s="311" t="n"/>
      <c r="U92">
        <f>$I92</f>
        <v/>
      </c>
      <c r="V92" s="310">
        <f>(Q92*R92)+(R92*U92)</f>
        <v/>
      </c>
      <c r="W92" s="94" t="n"/>
      <c r="X92" s="35" t="n"/>
      <c r="Y92" s="94" t="n"/>
      <c r="Z92" s="311" t="n"/>
      <c r="AA92">
        <f>$I92</f>
        <v/>
      </c>
      <c r="AB92" s="310">
        <f>(W92*X92)+(X92*AA92)</f>
        <v/>
      </c>
      <c r="AC92" s="37" t="n"/>
    </row>
    <row r="93">
      <c r="C93" s="78" t="n"/>
      <c r="D93" s="144" t="inlineStr">
        <is>
          <t>2) Sospensioni due mani multipresa</t>
        </is>
      </c>
      <c r="E93" s="145" t="n"/>
      <c r="F93" s="149" t="n"/>
      <c r="G93" s="145" t="n"/>
      <c r="H93" s="146" t="inlineStr">
        <is>
          <t>≥-10</t>
        </is>
      </c>
      <c r="I93" s="150" t="n">
        <v>5</v>
      </c>
      <c r="J93" s="147">
        <f>(E93*F93)+(F93*I93)</f>
        <v/>
      </c>
      <c r="K93" s="145" t="n"/>
      <c r="L93" s="149" t="n"/>
      <c r="M93" s="145" t="n"/>
      <c r="N93" s="146" t="n"/>
      <c r="O93" s="150">
        <f>$I93</f>
        <v/>
      </c>
      <c r="P93" s="147">
        <f>(K93*L93)+(L93*O93)</f>
        <v/>
      </c>
      <c r="Q93" s="145" t="n"/>
      <c r="R93" s="149" t="n"/>
      <c r="S93" s="145" t="n"/>
      <c r="T93" s="146" t="n"/>
      <c r="U93" s="150">
        <f>$I93</f>
        <v/>
      </c>
      <c r="V93" s="147">
        <f>(Q93*R93)+(R93*U93)</f>
        <v/>
      </c>
      <c r="W93" s="145" t="n"/>
      <c r="X93" s="149" t="n"/>
      <c r="Y93" s="145" t="n"/>
      <c r="Z93" s="146" t="n"/>
      <c r="AA93" s="150">
        <f>$I93</f>
        <v/>
      </c>
      <c r="AB93" s="147">
        <f>(W93*X93)+(X93*AA93)</f>
        <v/>
      </c>
      <c r="AC93" s="37" t="n"/>
    </row>
    <row r="94">
      <c r="C94" s="78" t="n"/>
      <c r="D94" s="142" t="inlineStr">
        <is>
          <t>Volume totale:</t>
        </is>
      </c>
      <c r="E94" s="311">
        <f t="array" ref="E94">SUMPRODUCT((E92:E93*F92:F93)*G92:G93)</f>
        <v/>
      </c>
      <c r="H94" s="361" t="n"/>
      <c r="J94" s="310">
        <f>(E94*F94)+(F94*I94)</f>
        <v/>
      </c>
      <c r="K94" s="311">
        <f t="array" ref="K94">SUMPRODUCT((K92:K93*L92:L93)*M92:M93)</f>
        <v/>
      </c>
      <c r="N94" s="361" t="n"/>
      <c r="P94" s="310">
        <f>(K94*L94)+(L94*O94)</f>
        <v/>
      </c>
      <c r="Q94" s="311">
        <f t="array" ref="Q94">SUMPRODUCT((Q92:Q93*R92:R93)*S92:S93)</f>
        <v/>
      </c>
      <c r="T94" s="361" t="n"/>
      <c r="V94" s="310">
        <f>(Q94*R94)+(R94*U94)</f>
        <v/>
      </c>
      <c r="W94" s="311">
        <f t="array" ref="W94">SUMPRODUCT((W92:W93*X92:X93)*Y92:Y93)</f>
        <v/>
      </c>
      <c r="Z94" s="361" t="n"/>
      <c r="AB94" s="310">
        <f>(W94*X94)+(X94*AA94)</f>
        <v/>
      </c>
      <c r="AC94" s="37" t="n"/>
    </row>
    <row r="95">
      <c r="C95" s="78" t="n"/>
      <c r="D95" s="143" t="n"/>
      <c r="E95" s="81" t="n"/>
      <c r="F95" s="310" t="n"/>
      <c r="G95" s="310" t="n"/>
      <c r="H95" s="311" t="n"/>
      <c r="K95" s="310" t="n"/>
      <c r="L95" s="310" t="n"/>
      <c r="M95" s="310" t="n"/>
      <c r="N95" s="311" t="n"/>
      <c r="Q95" s="310" t="n"/>
      <c r="R95" s="310" t="n"/>
      <c r="S95" s="310" t="n"/>
      <c r="T95" s="311" t="n"/>
      <c r="W95" s="81" t="n"/>
      <c r="X95" s="310" t="n"/>
      <c r="Y95" s="310" t="n"/>
      <c r="Z95" s="311" t="n"/>
      <c r="AC95" s="37" t="n"/>
    </row>
    <row r="96" ht="15.6" customHeight="1">
      <c r="C96" s="78" t="n"/>
      <c r="D96" s="142" t="inlineStr">
        <is>
          <t xml:space="preserve">Recupero:  </t>
        </is>
      </c>
      <c r="E96" s="306" t="inlineStr">
        <is>
          <t xml:space="preserve"> 1) Tra le ripetizioni 6"
											</t>
        </is>
      </c>
      <c r="H96" s="361" t="n"/>
      <c r="K96" s="306" t="inlineStr">
        <is>
          <t xml:space="preserve"> 1) Tra le ripetizioni 6"
											</t>
        </is>
      </c>
      <c r="N96" s="361" t="n"/>
      <c r="Q96" s="306" t="inlineStr">
        <is>
          <t xml:space="preserve"> 1) Tra le ripetizioni 6"
											</t>
        </is>
      </c>
      <c r="T96" s="361" t="n"/>
      <c r="W96" s="306" t="inlineStr">
        <is>
          <t xml:space="preserve"> 1) Tra le ripetizioni 6"
											</t>
        </is>
      </c>
      <c r="Z96" s="361" t="n"/>
      <c r="AC96" s="37" t="n"/>
    </row>
    <row r="97" ht="15.6" customHeight="1">
      <c r="C97" s="78" t="n"/>
      <c r="D97" s="80" t="n"/>
      <c r="E97" s="304" t="inlineStr">
        <is>
          <t xml:space="preserve"> Tra le serie 4-6'</t>
        </is>
      </c>
      <c r="H97" s="361" t="n"/>
      <c r="K97" s="304" t="inlineStr">
        <is>
          <t xml:space="preserve"> Tra le serie 4-6'</t>
        </is>
      </c>
      <c r="N97" s="361" t="n"/>
      <c r="Q97" s="304" t="inlineStr">
        <is>
          <t xml:space="preserve"> Tra le serie 4-6'</t>
        </is>
      </c>
      <c r="T97" s="361" t="n"/>
      <c r="W97" s="304" t="inlineStr">
        <is>
          <t xml:space="preserve"> Tra le serie 4-6'</t>
        </is>
      </c>
      <c r="Z97" s="361" t="n"/>
      <c r="AC97" s="37" t="n"/>
    </row>
    <row r="98" ht="15.6" customHeight="1">
      <c r="C98" s="78" t="n"/>
      <c r="D98" s="80" t="n"/>
      <c r="E98" s="304" t="inlineStr">
        <is>
          <t xml:space="preserve"> 2) Tra le ripetizioni 5"
											</t>
        </is>
      </c>
      <c r="H98" s="361" t="n"/>
      <c r="K98" s="304" t="inlineStr">
        <is>
          <t xml:space="preserve"> 2) Tra le ripetizioni 5"
											</t>
        </is>
      </c>
      <c r="N98" s="361" t="n"/>
      <c r="Q98" s="304" t="inlineStr">
        <is>
          <t xml:space="preserve"> 2) Tra le ripetizioni 5"
											</t>
        </is>
      </c>
      <c r="T98" s="361" t="n"/>
      <c r="W98" s="304" t="inlineStr">
        <is>
          <t xml:space="preserve"> 2) Tra le ripetizioni 5"
											</t>
        </is>
      </c>
      <c r="Z98" s="361" t="n"/>
      <c r="AC98" s="37" t="n"/>
    </row>
    <row r="99" ht="15.6" customHeight="1">
      <c r="C99" s="78" t="n"/>
      <c r="D99" s="80" t="n"/>
      <c r="E99" s="304" t="inlineStr">
        <is>
          <t xml:space="preserve"> Tra le serie 5-7'</t>
        </is>
      </c>
      <c r="H99" s="361" t="n"/>
      <c r="K99" s="304" t="inlineStr">
        <is>
          <t xml:space="preserve"> Tra le serie 5-7'</t>
        </is>
      </c>
      <c r="N99" s="361" t="n"/>
      <c r="Q99" s="304" t="inlineStr">
        <is>
          <t xml:space="preserve"> Tra le serie 5-7'</t>
        </is>
      </c>
      <c r="T99" s="361" t="n"/>
      <c r="W99" s="304" t="inlineStr">
        <is>
          <t xml:space="preserve"> Tra le serie 5-7'</t>
        </is>
      </c>
      <c r="Z99" s="361" t="n"/>
      <c r="AC99" s="39" t="n"/>
    </row>
    <row r="100" ht="15.6" customHeight="1">
      <c r="C100" s="78" t="n"/>
      <c r="D100" s="80" t="n"/>
      <c r="E100" s="312" t="n"/>
      <c r="F100" s="312" t="n"/>
      <c r="G100" s="312" t="n"/>
      <c r="H100" s="312" t="n"/>
      <c r="I100" s="312" t="n"/>
      <c r="J100" s="312" t="n"/>
      <c r="K100" s="312" t="n"/>
      <c r="L100" s="312" t="n"/>
      <c r="M100" s="312" t="n"/>
      <c r="N100" s="312" t="n"/>
      <c r="O100" s="312" t="n"/>
      <c r="P100" s="312" t="n"/>
      <c r="Q100" s="312" t="n"/>
      <c r="R100" s="312" t="n"/>
      <c r="S100" s="312" t="n"/>
      <c r="T100" s="312" t="n"/>
      <c r="U100" s="312" t="n"/>
      <c r="V100" s="312" t="n"/>
      <c r="W100" s="312" t="n"/>
      <c r="X100" s="312" t="n"/>
      <c r="Y100" s="312" t="n"/>
      <c r="Z100" s="312" t="n"/>
      <c r="AA100" s="312" t="n"/>
      <c r="AB100" s="312" t="n"/>
      <c r="AC100" s="37" t="n"/>
    </row>
    <row r="101" ht="14.45" customHeight="1">
      <c r="C101" s="78" t="n"/>
      <c r="D101" s="319" t="inlineStr">
        <is>
          <t>Esegui le sospensioni senza arrivare mai allo sfinimento (tranne nell'AMRAP), nel caso siano facili aumenta la zavorra</t>
        </is>
      </c>
      <c r="X101" s="40" t="n"/>
      <c r="Y101" s="40" t="n"/>
      <c r="Z101" s="40" t="n"/>
      <c r="AA101" s="40" t="n"/>
      <c r="AB101" s="40" t="n"/>
      <c r="AC101" s="41" t="n"/>
    </row>
    <row r="102" ht="14.45" customHeight="1">
      <c r="C102" s="78" t="n"/>
      <c r="D102" s="319" t="inlineStr">
        <is>
          <t>Esegui l'AMRAP entrambi i giorni di allenamento recuperando 3' prima di farlo</t>
        </is>
      </c>
      <c r="S102" s="319" t="n"/>
      <c r="T102" s="319" t="n"/>
      <c r="U102" s="319" t="n"/>
      <c r="V102" s="319" t="n"/>
      <c r="W102" s="319" t="n"/>
      <c r="X102" s="40" t="n"/>
      <c r="Y102" s="40" t="n"/>
      <c r="Z102" s="40" t="n"/>
      <c r="AA102" s="40" t="n"/>
      <c r="AB102" s="40" t="n"/>
      <c r="AC102" s="41" t="n"/>
    </row>
    <row r="103" ht="15.75" customHeight="1" thickBot="1">
      <c r="C103" s="82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315">
        <f>$Y$35+56</f>
        <v/>
      </c>
      <c r="Z103" s="9" t="n"/>
      <c r="AA103" s="9" t="n"/>
      <c r="AB103" s="9" t="n"/>
      <c r="AC103" s="362" t="n"/>
    </row>
    <row r="104" ht="15.75" customHeight="1" thickTop="1"/>
  </sheetData>
  <mergeCells count="133">
    <mergeCell ref="K61:N61"/>
    <mergeCell ref="K14:N14"/>
    <mergeCell ref="W52:Z52"/>
    <mergeCell ref="E61:H61"/>
    <mergeCell ref="W61:Z61"/>
    <mergeCell ref="Y103:AC103"/>
    <mergeCell ref="Q86:T86"/>
    <mergeCell ref="K7:N7"/>
    <mergeCell ref="E97:H97"/>
    <mergeCell ref="L3:M3"/>
    <mergeCell ref="K62:N62"/>
    <mergeCell ref="E96:H96"/>
    <mergeCell ref="C4:Y4"/>
    <mergeCell ref="K49:N49"/>
    <mergeCell ref="Q7:T7"/>
    <mergeCell ref="W87:Z87"/>
    <mergeCell ref="E62:H62"/>
    <mergeCell ref="Q87:T87"/>
    <mergeCell ref="L39:M39"/>
    <mergeCell ref="Q62:T62"/>
    <mergeCell ref="E98:H98"/>
    <mergeCell ref="C40:Y40"/>
    <mergeCell ref="E64:H64"/>
    <mergeCell ref="Z75:AC75"/>
    <mergeCell ref="E51:H51"/>
    <mergeCell ref="Q64:T64"/>
    <mergeCell ref="Q51:T51"/>
    <mergeCell ref="E63:H63"/>
    <mergeCell ref="K90:N90"/>
    <mergeCell ref="W63:Z63"/>
    <mergeCell ref="K99:N99"/>
    <mergeCell ref="Q63:T63"/>
    <mergeCell ref="E99:H99"/>
    <mergeCell ref="D33:W33"/>
    <mergeCell ref="Q90:T90"/>
    <mergeCell ref="Q99:T99"/>
    <mergeCell ref="E49:H49"/>
    <mergeCell ref="E27:H27"/>
    <mergeCell ref="Q49:T49"/>
    <mergeCell ref="Q27:T27"/>
    <mergeCell ref="Q17:T17"/>
    <mergeCell ref="W86:Z86"/>
    <mergeCell ref="C41:AC41"/>
    <mergeCell ref="W14:Z14"/>
    <mergeCell ref="W28:Z28"/>
    <mergeCell ref="K78:N78"/>
    <mergeCell ref="K87:N87"/>
    <mergeCell ref="D101:W101"/>
    <mergeCell ref="W78:Z78"/>
    <mergeCell ref="C76:AC76"/>
    <mergeCell ref="E14:H14"/>
    <mergeCell ref="C75:Y75"/>
    <mergeCell ref="K64:N64"/>
    <mergeCell ref="Q97:T97"/>
    <mergeCell ref="W55:Z55"/>
    <mergeCell ref="K51:N51"/>
    <mergeCell ref="W64:Z64"/>
    <mergeCell ref="Q55:T55"/>
    <mergeCell ref="E87:H87"/>
    <mergeCell ref="W51:Z51"/>
    <mergeCell ref="K63:N63"/>
    <mergeCell ref="W97:Z97"/>
    <mergeCell ref="K96:N96"/>
    <mergeCell ref="K43:N43"/>
    <mergeCell ref="W16:Z16"/>
    <mergeCell ref="E90:H90"/>
    <mergeCell ref="K52:N52"/>
    <mergeCell ref="W96:Z96"/>
    <mergeCell ref="W90:Z90"/>
    <mergeCell ref="C5:AC5"/>
    <mergeCell ref="W43:Z43"/>
    <mergeCell ref="K27:N27"/>
    <mergeCell ref="K98:N98"/>
    <mergeCell ref="W27:Z27"/>
    <mergeCell ref="K17:N17"/>
    <mergeCell ref="D34:K34"/>
    <mergeCell ref="E16:H16"/>
    <mergeCell ref="W17:Z17"/>
    <mergeCell ref="E25:H25"/>
    <mergeCell ref="K19:N19"/>
    <mergeCell ref="K28:N28"/>
    <mergeCell ref="W19:Z19"/>
    <mergeCell ref="Z40:AC40"/>
    <mergeCell ref="Y35:AC35"/>
    <mergeCell ref="K25:N25"/>
    <mergeCell ref="W25:Z25"/>
    <mergeCell ref="E55:H55"/>
    <mergeCell ref="Q28:T28"/>
    <mergeCell ref="L74:M74"/>
    <mergeCell ref="E52:H52"/>
    <mergeCell ref="W84:Z84"/>
    <mergeCell ref="Y69:AC69"/>
    <mergeCell ref="Q52:T52"/>
    <mergeCell ref="K55:N55"/>
    <mergeCell ref="E94:H94"/>
    <mergeCell ref="Q14:T14"/>
    <mergeCell ref="W94:Z94"/>
    <mergeCell ref="E84:H84"/>
    <mergeCell ref="Q94:T94"/>
    <mergeCell ref="E78:H78"/>
    <mergeCell ref="C38:D38"/>
    <mergeCell ref="Q78:T78"/>
    <mergeCell ref="D68:Q68"/>
    <mergeCell ref="W7:Z7"/>
    <mergeCell ref="E86:H86"/>
    <mergeCell ref="Q59:T59"/>
    <mergeCell ref="Q98:T98"/>
    <mergeCell ref="K97:N97"/>
    <mergeCell ref="Q61:T61"/>
    <mergeCell ref="E7:H7"/>
    <mergeCell ref="W98:Z98"/>
    <mergeCell ref="E43:H43"/>
    <mergeCell ref="Q16:T16"/>
    <mergeCell ref="Q96:T96"/>
    <mergeCell ref="W49:Z49"/>
    <mergeCell ref="Q25:T25"/>
    <mergeCell ref="D102:R102"/>
    <mergeCell ref="K16:N16"/>
    <mergeCell ref="Q43:T43"/>
    <mergeCell ref="W99:Z99"/>
    <mergeCell ref="E17:H17"/>
    <mergeCell ref="E19:H19"/>
    <mergeCell ref="K94:N94"/>
    <mergeCell ref="E28:H28"/>
    <mergeCell ref="Q19:T19"/>
    <mergeCell ref="K84:N84"/>
    <mergeCell ref="K59:N59"/>
    <mergeCell ref="W62:Z62"/>
    <mergeCell ref="E59:H59"/>
    <mergeCell ref="K86:N86"/>
    <mergeCell ref="W59:Z59"/>
    <mergeCell ref="Q84:T84"/>
    <mergeCell ref="D67:W67"/>
  </mergeCells>
  <pageMargins left="0.2362204724409449" right="0.2362204724409449" top="0.7480314960629921" bottom="0.7480314960629921" header="0.3149606299212598" footer="0.3149606299212598"/>
  <pageSetup orientation="portrait" paperSize="9" scale="11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2026-04-16T10:15:00Z</dcterms:modified>
  <cp:lastModifiedBy>Samuele Malavasi</cp:lastModifiedBy>
</cp:coreProperties>
</file>