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5" autoFilterDateGrouping="1"/>
  </bookViews>
  <sheets>
    <sheet xmlns:r="http://schemas.openxmlformats.org/officeDocument/2006/relationships" name="2023_Sospension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6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0" fontId="0" fillId="22" borderId="17" applyAlignment="1" pivotButton="0" quotePrefix="0" xfId="0">
      <alignment horizontal="center" vertical="center" wrapText="1"/>
    </xf>
    <xf numFmtId="0" fontId="0" fillId="22" borderId="51" applyAlignment="1" pivotButton="0" quotePrefix="1" xfId="0">
      <alignment horizontal="center" vertical="center" wrapText="1"/>
    </xf>
    <xf numFmtId="0" fontId="0" fillId="22" borderId="53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 wrapText="1"/>
    </xf>
    <xf numFmtId="0" fontId="0" fillId="23" borderId="52" applyAlignment="1" pivotButton="0" quotePrefix="0" xfId="0">
      <alignment horizontal="center" vertical="center" wrapText="1"/>
    </xf>
    <xf numFmtId="0" fontId="0" fillId="23" borderId="5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8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11" fillId="9" borderId="17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12</col>
      <colOff>1802</colOff>
      <row>25</row>
      <rowOff>29390</rowOff>
    </from>
    <to>
      <col>14</col>
      <colOff>455296</colOff>
      <row>25</row>
      <rowOff>479143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7343" b="26651"/>
        <a:stretch xmlns:a="http://schemas.openxmlformats.org/drawingml/2006/main">
          <a:fillRect/>
        </a:stretch>
      </blipFill>
      <spPr>
        <a:xfrm xmlns:a="http://schemas.openxmlformats.org/drawingml/2006/main">
          <a:off x="6691714" y="5284949"/>
          <a:ext cx="1327553" cy="459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217850</colOff>
      <row>47</row>
      <rowOff>0</rowOff>
    </from>
    <to>
      <col>14</col>
      <colOff>211454</colOff>
      <row>49</row>
      <rowOff>76893</rowOff>
    </to>
    <pic>
      <nvPicPr>
        <cNvPr id="8" name="Immagine 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4959" b="27026"/>
        <a:stretch xmlns:a="http://schemas.openxmlformats.org/drawingml/2006/main">
          <a:fillRect/>
        </a:stretch>
      </blipFill>
      <spPr>
        <a:xfrm xmlns:a="http://schemas.openxmlformats.org/drawingml/2006/main">
          <a:off x="5198559" y="14706600"/>
          <a:ext cx="1282078" cy="4502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 fitToPage="1"/>
  </sheetPr>
  <dimension ref="C3:AM47"/>
  <sheetViews>
    <sheetView tabSelected="1" topLeftCell="A23" zoomScaleNormal="100" workbookViewId="0">
      <selection activeCell="A48" sqref="A48:XFD84"/>
    </sheetView>
  </sheetViews>
  <sheetFormatPr baseColWidth="8" defaultRowHeight="15"/>
  <cols>
    <col width="4" customWidth="1" min="3" max="3"/>
    <col width="36" customWidth="1" min="4" max="4"/>
    <col width="6.28515625" customWidth="1" min="5" max="7"/>
    <col width="7.28515625" bestFit="1" customWidth="1" min="8" max="9"/>
    <col hidden="1" width="8.7109375" customWidth="1" min="10" max="11"/>
    <col width="6.28515625" customWidth="1" min="12" max="14"/>
    <col width="7.28515625" bestFit="1" customWidth="1" min="15" max="16"/>
    <col hidden="1" width="6.28515625" customWidth="1" min="17" max="18"/>
    <col collapsed="1" width="6.28515625" customWidth="1" min="19" max="19"/>
    <col width="6.28515625" customWidth="1" min="20" max="21"/>
    <col width="7.28515625" bestFit="1" customWidth="1" min="22" max="23"/>
    <col hidden="1" width="6.28515625" customWidth="1" min="24" max="25"/>
    <col collapsed="1" width="6.28515625" customWidth="1" min="26" max="26"/>
    <col width="6.28515625" customWidth="1" min="27" max="28"/>
    <col width="7.28515625" bestFit="1" customWidth="1" min="29" max="30"/>
    <col hidden="1" width="6.28515625" customWidth="1" min="31" max="32"/>
    <col collapsed="1" width="4.85546875" customWidth="1" min="33" max="33"/>
    <col width="4.85546875" customWidth="1" min="34" max="36"/>
    <col width="22.85546875" customWidth="1" min="37" max="37"/>
    <col width="4.85546875" bestFit="1" customWidth="1" min="38" max="38"/>
    <col width="4.28515625" bestFit="1" customWidth="1" min="39" max="39"/>
    <col width="3.5703125" customWidth="1" min="40" max="40"/>
    <col width="17.28515625" bestFit="1" customWidth="1" min="41" max="41"/>
    <col width="4.7109375" customWidth="1" min="42" max="57"/>
    <col width="3.140625" customWidth="1" min="58" max="58"/>
  </cols>
  <sheetData>
    <row r="1" hidden="1"/>
    <row r="2" hidden="1"/>
    <row r="3" hidden="1" ht="16.5" customHeight="1" thickBot="1">
      <c r="C3" s="25" t="inlineStr">
        <is>
          <t>WEEK 1-4</t>
        </is>
      </c>
      <c r="D3" s="26" t="n"/>
      <c r="G3" s="27" t="n"/>
      <c r="H3" s="27" t="n"/>
      <c r="I3" s="141" t="n"/>
      <c r="J3" s="141" t="n"/>
      <c r="K3" s="141" t="n"/>
      <c r="M3" s="289" t="inlineStr">
        <is>
          <t>AUTUNNO 2023</t>
        </is>
      </c>
      <c r="N3" s="9" t="n"/>
      <c r="O3" s="9" t="n"/>
      <c r="P3" s="28" t="n"/>
      <c r="Q3" s="28" t="n"/>
      <c r="R3" s="28" t="n"/>
      <c r="S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350" t="inlineStr">
        <is>
          <t>SAMUELE MALAVASI</t>
        </is>
      </c>
      <c r="AK3" s="42" t="n"/>
      <c r="AL3" s="42" t="n"/>
      <c r="AM3" s="42" t="n"/>
    </row>
    <row r="4" hidden="1" ht="40.15" customHeight="1" thickBot="1" thickTop="1">
      <c r="C4" s="290" t="n"/>
      <c r="D4" s="355" t="n"/>
      <c r="E4" s="355" t="n"/>
      <c r="F4" s="355" t="n"/>
      <c r="G4" s="355" t="n"/>
      <c r="H4" s="355" t="n"/>
      <c r="I4" s="355" t="n"/>
      <c r="J4" s="355" t="n"/>
      <c r="K4" s="355" t="n"/>
      <c r="L4" s="355" t="n"/>
      <c r="M4" s="355" t="n"/>
      <c r="N4" s="355" t="n"/>
      <c r="O4" s="355" t="n"/>
      <c r="P4" s="355" t="n"/>
      <c r="Q4" s="355" t="n"/>
      <c r="R4" s="355" t="n"/>
      <c r="S4" s="355" t="n"/>
      <c r="T4" s="355" t="n"/>
      <c r="U4" s="355" t="n"/>
      <c r="V4" s="355" t="n"/>
      <c r="W4" s="355" t="n"/>
      <c r="X4" s="355" t="n"/>
      <c r="Y4" s="355" t="n"/>
      <c r="Z4" s="355" t="n"/>
      <c r="AA4" s="355" t="n"/>
      <c r="AB4" s="355" t="n"/>
      <c r="AD4" s="186" t="n"/>
      <c r="AE4" s="186" t="n"/>
      <c r="AF4" s="186" t="n"/>
      <c r="AG4" s="187" t="inlineStr">
        <is>
          <t xml:space="preserve">S M </t>
        </is>
      </c>
      <c r="AH4" s="7" t="n"/>
      <c r="AK4" s="44" t="n"/>
      <c r="AL4" s="44" t="n"/>
      <c r="AM4" s="44" t="n"/>
    </row>
    <row r="5" hidden="1" ht="18.6" customHeight="1" thickBot="1" thickTop="1">
      <c r="C5" s="356" t="inlineStr">
        <is>
          <t>2023_12_SOSPENSIONI</t>
        </is>
      </c>
      <c r="D5" s="355" t="n"/>
      <c r="E5" s="355" t="n"/>
      <c r="F5" s="355" t="n"/>
      <c r="G5" s="355" t="n"/>
      <c r="H5" s="355" t="n"/>
      <c r="I5" s="355" t="n"/>
      <c r="J5" s="355" t="n"/>
      <c r="K5" s="355" t="n"/>
      <c r="L5" s="355" t="n"/>
      <c r="M5" s="355" t="n"/>
      <c r="N5" s="355" t="n"/>
      <c r="O5" s="355" t="n"/>
      <c r="P5" s="355" t="n"/>
      <c r="Q5" s="355" t="n"/>
      <c r="R5" s="355" t="n"/>
      <c r="S5" s="355" t="n"/>
      <c r="T5" s="355" t="n"/>
      <c r="U5" s="355" t="n"/>
      <c r="V5" s="355" t="n"/>
      <c r="W5" s="355" t="n"/>
      <c r="X5" s="355" t="n"/>
      <c r="Y5" s="355" t="n"/>
      <c r="Z5" s="355" t="n"/>
      <c r="AA5" s="355" t="n"/>
      <c r="AB5" s="355" t="n"/>
      <c r="AC5" s="355" t="n"/>
      <c r="AD5" s="355" t="n"/>
      <c r="AE5" s="355" t="n"/>
      <c r="AF5" s="355" t="n"/>
      <c r="AG5" s="357" t="n"/>
    </row>
    <row r="6" hidden="1" ht="14.45" customHeight="1" thickTop="1">
      <c r="C6" s="75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7" t="n"/>
      <c r="AK6" s="42" t="n"/>
      <c r="AL6" s="42" t="n"/>
      <c r="AM6" s="42" t="n"/>
    </row>
    <row r="7" hidden="1" ht="15.75" customHeight="1">
      <c r="C7" s="78" t="n"/>
      <c r="D7" s="25" t="inlineStr">
        <is>
          <t>FORZA</t>
        </is>
      </c>
      <c r="E7" s="300" t="inlineStr">
        <is>
          <t>Wk 1</t>
        </is>
      </c>
      <c r="I7" s="358" t="n"/>
      <c r="J7" s="300" t="n"/>
      <c r="K7" s="300" t="n"/>
      <c r="L7" s="359" t="inlineStr">
        <is>
          <t>Wk 2</t>
        </is>
      </c>
      <c r="P7" s="358" t="n"/>
      <c r="Q7" s="300" t="n"/>
      <c r="R7" s="300" t="n"/>
      <c r="S7" s="359" t="inlineStr">
        <is>
          <t>Wk 3</t>
        </is>
      </c>
      <c r="W7" s="358" t="n"/>
      <c r="X7" s="300" t="n"/>
      <c r="Y7" s="300" t="n"/>
      <c r="Z7" s="298" t="inlineStr">
        <is>
          <t>Wk 4</t>
        </is>
      </c>
      <c r="AG7" s="33" t="n"/>
    </row>
    <row r="8" hidden="1" ht="15.75" customHeight="1">
      <c r="C8" s="78" t="n"/>
      <c r="D8" s="74" t="inlineStr">
        <is>
          <t>Esercizio</t>
        </is>
      </c>
      <c r="E8" s="95" t="inlineStr">
        <is>
          <t>TEMPO</t>
        </is>
      </c>
      <c r="F8" s="34" t="inlineStr">
        <is>
          <t>REP</t>
        </is>
      </c>
      <c r="G8" s="95" t="inlineStr">
        <is>
          <t>SET</t>
        </is>
      </c>
      <c r="H8" s="140" t="inlineStr">
        <is>
          <t>CARICO 1</t>
        </is>
      </c>
      <c r="I8" s="73" t="inlineStr">
        <is>
          <t>CARICO 2</t>
        </is>
      </c>
      <c r="J8" s="140" t="inlineStr">
        <is>
          <t>Rest</t>
        </is>
      </c>
      <c r="K8" s="140" t="inlineStr">
        <is>
          <t>TUT es</t>
        </is>
      </c>
      <c r="L8" s="95" t="inlineStr">
        <is>
          <t>TEMPO</t>
        </is>
      </c>
      <c r="M8" s="34" t="inlineStr">
        <is>
          <t>REP</t>
        </is>
      </c>
      <c r="N8" s="95" t="inlineStr">
        <is>
          <t>SET</t>
        </is>
      </c>
      <c r="O8" s="140" t="inlineStr">
        <is>
          <t>CARICO 1</t>
        </is>
      </c>
      <c r="P8" s="73" t="inlineStr">
        <is>
          <t>CARICO 2</t>
        </is>
      </c>
      <c r="Q8" s="140" t="inlineStr">
        <is>
          <t>Rest</t>
        </is>
      </c>
      <c r="R8" s="140" t="inlineStr">
        <is>
          <t>TUT es</t>
        </is>
      </c>
      <c r="S8" s="95" t="inlineStr">
        <is>
          <t>TEMPO</t>
        </is>
      </c>
      <c r="T8" s="34" t="inlineStr">
        <is>
          <t>REP</t>
        </is>
      </c>
      <c r="U8" s="95" t="inlineStr">
        <is>
          <t>SET</t>
        </is>
      </c>
      <c r="V8" s="140" t="inlineStr">
        <is>
          <t>CARICO 1</t>
        </is>
      </c>
      <c r="W8" s="73" t="inlineStr">
        <is>
          <t>CARICO 2</t>
        </is>
      </c>
      <c r="X8" s="140" t="inlineStr">
        <is>
          <t>Rest</t>
        </is>
      </c>
      <c r="Y8" s="140" t="inlineStr">
        <is>
          <t>TUT es</t>
        </is>
      </c>
      <c r="Z8" s="95" t="inlineStr">
        <is>
          <t>TEMPO</t>
        </is>
      </c>
      <c r="AA8" s="34" t="inlineStr">
        <is>
          <t>REP</t>
        </is>
      </c>
      <c r="AB8" s="95" t="inlineStr">
        <is>
          <t>SET</t>
        </is>
      </c>
      <c r="AC8" s="140" t="inlineStr">
        <is>
          <t>CARICO 1</t>
        </is>
      </c>
      <c r="AD8" s="73" t="inlineStr">
        <is>
          <t>CARICO 2</t>
        </is>
      </c>
      <c r="AE8" s="140" t="inlineStr">
        <is>
          <t>Rest</t>
        </is>
      </c>
      <c r="AF8" s="140" t="inlineStr">
        <is>
          <t>TUT es</t>
        </is>
      </c>
      <c r="AG8" s="33" t="n"/>
    </row>
    <row r="9" hidden="1" ht="16.15" customHeight="1">
      <c r="C9" s="78" t="n"/>
      <c r="D9" s="79" t="inlineStr">
        <is>
          <t>Stacco da terra pinch - pollice solo ultima falange</t>
        </is>
      </c>
      <c r="E9" s="94" t="inlineStr">
        <is>
          <t>X</t>
        </is>
      </c>
      <c r="F9" s="35" t="n">
        <v>4</v>
      </c>
      <c r="G9" s="94" t="n">
        <v>3</v>
      </c>
      <c r="H9" s="287" t="n"/>
      <c r="I9" s="238" t="n"/>
      <c r="J9" s="287" t="n"/>
      <c r="K9" s="287">
        <f>(E9*F9)+(F9*J9)</f>
        <v/>
      </c>
      <c r="L9" s="94" t="inlineStr">
        <is>
          <t>X</t>
        </is>
      </c>
      <c r="M9" s="35" t="n">
        <v>4</v>
      </c>
      <c r="N9" s="94" t="n">
        <v>2</v>
      </c>
      <c r="O9" s="287" t="n"/>
      <c r="P9" s="238" t="n"/>
      <c r="Q9" s="1">
        <f>$J9</f>
        <v/>
      </c>
      <c r="R9" s="287">
        <f>(L9*M9)+(M9*Q9)</f>
        <v/>
      </c>
      <c r="S9" s="94" t="inlineStr">
        <is>
          <t>X</t>
        </is>
      </c>
      <c r="T9" s="35" t="n">
        <v>4</v>
      </c>
      <c r="U9" s="94" t="n">
        <v>4</v>
      </c>
      <c r="V9" s="287" t="n"/>
      <c r="W9" s="238" t="n"/>
      <c r="X9" s="1">
        <f>$J9</f>
        <v/>
      </c>
      <c r="Y9" s="287">
        <f>(S9*T9)+(T9*X9)</f>
        <v/>
      </c>
      <c r="Z9" s="94" t="inlineStr">
        <is>
          <t>X</t>
        </is>
      </c>
      <c r="AA9" s="35" t="n">
        <v>4</v>
      </c>
      <c r="AB9" s="94" t="n">
        <v>2</v>
      </c>
      <c r="AC9" s="287" t="n"/>
      <c r="AD9" s="238" t="n"/>
      <c r="AE9">
        <f>$J9</f>
        <v/>
      </c>
      <c r="AF9" s="287">
        <f>(Z9*AA9)+(AA9*AE9)</f>
        <v/>
      </c>
      <c r="AG9" s="33" t="n"/>
      <c r="AH9" s="25" t="n"/>
      <c r="AI9" s="25" t="n"/>
      <c r="AJ9" s="25" t="n"/>
    </row>
    <row r="10" hidden="1" ht="15.75" customHeight="1">
      <c r="C10" s="78" t="n"/>
      <c r="D10" s="142" t="inlineStr">
        <is>
          <t>Stacco da terra tacca 20mm</t>
        </is>
      </c>
      <c r="E10" s="143" t="inlineStr">
        <is>
          <t>X</t>
        </is>
      </c>
      <c r="F10" s="143" t="n">
        <v>6</v>
      </c>
      <c r="G10" s="143" t="n">
        <v>4</v>
      </c>
      <c r="H10" s="145" t="n"/>
      <c r="I10" s="239" t="n"/>
      <c r="J10" s="145" t="n"/>
      <c r="K10" s="145">
        <f>(E10*F10)+(F10*J10)</f>
        <v/>
      </c>
      <c r="L10" s="143" t="inlineStr">
        <is>
          <t>X</t>
        </is>
      </c>
      <c r="M10" s="143" t="n">
        <v>7</v>
      </c>
      <c r="N10" s="143" t="n">
        <v>3</v>
      </c>
      <c r="O10" s="145" t="n"/>
      <c r="P10" s="239" t="n"/>
      <c r="Q10" s="240">
        <f>$J10</f>
        <v/>
      </c>
      <c r="R10" s="145">
        <f>(L10*M10)+(M10*Q10)</f>
        <v/>
      </c>
      <c r="S10" s="143" t="inlineStr">
        <is>
          <t>X</t>
        </is>
      </c>
      <c r="T10" s="143" t="n">
        <v>7</v>
      </c>
      <c r="U10" s="143" t="n">
        <v>4</v>
      </c>
      <c r="V10" s="145" t="n"/>
      <c r="W10" s="239" t="n"/>
      <c r="X10" s="240">
        <f>$J10</f>
        <v/>
      </c>
      <c r="Y10" s="145">
        <f>(S10*T10)+(T10*X10)</f>
        <v/>
      </c>
      <c r="Z10" s="143" t="inlineStr">
        <is>
          <t>X</t>
        </is>
      </c>
      <c r="AA10" s="143" t="n">
        <v>8</v>
      </c>
      <c r="AB10" s="143" t="n">
        <v>3</v>
      </c>
      <c r="AC10" s="145" t="n"/>
      <c r="AD10" s="239" t="n"/>
      <c r="AE10" s="146">
        <f>$J10</f>
        <v/>
      </c>
      <c r="AF10" s="145">
        <f>(Z10*AA10)+(AA10*AE10)</f>
        <v/>
      </c>
      <c r="AG10" s="33" t="n"/>
      <c r="AH10" s="7" t="n"/>
    </row>
    <row r="11" hidden="1" ht="15.75" customHeight="1">
      <c r="C11" s="78" t="n"/>
      <c r="D11" s="79" t="inlineStr">
        <is>
          <t>Sospensioni svase</t>
        </is>
      </c>
      <c r="E11" s="287" t="n">
        <v>6</v>
      </c>
      <c r="F11" s="94" t="n">
        <v>2</v>
      </c>
      <c r="G11" s="94" t="n">
        <v>3</v>
      </c>
      <c r="H11" s="287" t="n"/>
      <c r="I11" s="238" t="n"/>
      <c r="J11" s="287" t="n"/>
      <c r="K11" s="287">
        <f>(E11*F11)+(F11*J11)</f>
        <v/>
      </c>
      <c r="L11" s="287" t="n">
        <v>6</v>
      </c>
      <c r="M11" s="94" t="n">
        <v>2</v>
      </c>
      <c r="N11" s="94" t="n">
        <v>3</v>
      </c>
      <c r="O11" s="287" t="n"/>
      <c r="P11" s="238" t="n"/>
      <c r="Q11" s="1">
        <f>$J11</f>
        <v/>
      </c>
      <c r="R11" s="287">
        <f>(L11*M11)+(M11*Q11)</f>
        <v/>
      </c>
      <c r="S11" s="287" t="n">
        <v>6</v>
      </c>
      <c r="T11" s="94" t="n">
        <v>2</v>
      </c>
      <c r="U11" s="94" t="n">
        <v>3</v>
      </c>
      <c r="V11" s="287" t="n"/>
      <c r="W11" s="238" t="n"/>
      <c r="X11" s="1">
        <f>$J11</f>
        <v/>
      </c>
      <c r="Y11" s="287">
        <f>(S11*T11)+(T11*X11)</f>
        <v/>
      </c>
      <c r="Z11" s="287" t="n">
        <v>6</v>
      </c>
      <c r="AA11" s="94" t="n">
        <v>2</v>
      </c>
      <c r="AB11" s="94" t="n">
        <v>3</v>
      </c>
      <c r="AC11" s="287" t="n"/>
      <c r="AD11" s="238" t="n"/>
      <c r="AE11">
        <f>$J11</f>
        <v/>
      </c>
      <c r="AF11" s="287">
        <f>(Z11*AA11)+(AA11*AE11)</f>
        <v/>
      </c>
      <c r="AG11" s="33" t="n"/>
    </row>
    <row r="12" hidden="1" ht="15.75" customHeight="1">
      <c r="C12" s="78" t="n"/>
      <c r="D12" s="142" t="inlineStr">
        <is>
          <t>Sospensioni 3 dita stese</t>
        </is>
      </c>
      <c r="E12" s="143" t="n">
        <v>7</v>
      </c>
      <c r="F12" s="143" t="n">
        <v>2</v>
      </c>
      <c r="G12" s="143" t="n">
        <v>3</v>
      </c>
      <c r="H12" s="145" t="n"/>
      <c r="I12" s="144" t="n"/>
      <c r="J12" s="145" t="n"/>
      <c r="K12" s="145" t="n"/>
      <c r="L12" s="143" t="n">
        <v>7</v>
      </c>
      <c r="M12" s="143" t="n">
        <v>2</v>
      </c>
      <c r="N12" s="143" t="n">
        <v>2</v>
      </c>
      <c r="O12" s="145" t="n"/>
      <c r="P12" s="144" t="n"/>
      <c r="Q12" s="145" t="n"/>
      <c r="R12" s="145" t="n"/>
      <c r="S12" s="143" t="n">
        <v>7</v>
      </c>
      <c r="T12" s="143" t="n">
        <v>2</v>
      </c>
      <c r="U12" s="143" t="n">
        <v>4</v>
      </c>
      <c r="V12" s="145" t="n"/>
      <c r="W12" s="144" t="n"/>
      <c r="X12" s="145" t="n"/>
      <c r="Y12" s="145" t="n"/>
      <c r="Z12" s="143" t="n">
        <v>7</v>
      </c>
      <c r="AA12" s="143" t="n">
        <v>2</v>
      </c>
      <c r="AB12" s="143" t="n">
        <v>2</v>
      </c>
      <c r="AC12" s="145" t="n"/>
      <c r="AD12" s="144" t="n"/>
      <c r="AF12" s="287" t="n"/>
      <c r="AG12" s="33" t="n"/>
    </row>
    <row r="13" hidden="1" ht="15.75" customHeight="1">
      <c r="C13" s="78" t="n"/>
      <c r="D13" s="79" t="inlineStr">
        <is>
          <t>Sospensione due mani tacca 20mm</t>
        </is>
      </c>
      <c r="E13" s="287" t="inlineStr">
        <is>
          <t>AMRAP</t>
        </is>
      </c>
      <c r="F13" s="94" t="n">
        <v>1</v>
      </c>
      <c r="G13" s="287" t="n">
        <v>1</v>
      </c>
      <c r="H13" s="241" t="n">
        <v>20</v>
      </c>
      <c r="I13" s="242" t="n">
        <v>20</v>
      </c>
      <c r="J13" s="287" t="n"/>
      <c r="K13" s="287" t="n"/>
      <c r="L13" s="287" t="inlineStr">
        <is>
          <t>AMRAP</t>
        </is>
      </c>
      <c r="M13" s="94" t="n">
        <v>1</v>
      </c>
      <c r="N13" s="287" t="n">
        <v>1</v>
      </c>
      <c r="O13" s="241" t="n">
        <v>20</v>
      </c>
      <c r="P13" s="242" t="n">
        <v>20</v>
      </c>
      <c r="R13" s="287" t="n"/>
      <c r="S13" s="287" t="inlineStr">
        <is>
          <t>AMRAP</t>
        </is>
      </c>
      <c r="T13" s="94" t="n">
        <v>1</v>
      </c>
      <c r="U13" s="287" t="n">
        <v>1</v>
      </c>
      <c r="V13" s="241" t="n">
        <v>20</v>
      </c>
      <c r="W13" s="242" t="n">
        <v>20</v>
      </c>
      <c r="Y13" s="287" t="n"/>
      <c r="Z13" s="287" t="inlineStr">
        <is>
          <t>AMRAP</t>
        </is>
      </c>
      <c r="AA13" s="94" t="n">
        <v>1</v>
      </c>
      <c r="AB13" s="287" t="n">
        <v>1</v>
      </c>
      <c r="AC13" s="241" t="n">
        <v>20</v>
      </c>
      <c r="AD13" s="242" t="n">
        <v>20</v>
      </c>
      <c r="AE13" s="145" t="n"/>
      <c r="AF13" s="145" t="n"/>
      <c r="AG13" s="33" t="n"/>
    </row>
    <row r="14" hidden="1" ht="15.75" customHeight="1">
      <c r="C14" s="78" t="n"/>
      <c r="D14" s="80" t="inlineStr">
        <is>
          <t>Volume totale:</t>
        </is>
      </c>
      <c r="E14" s="288">
        <f t="array" ref="E14">SUMPRODUCT((E11:E12*F11:F12)*G11:G12)</f>
        <v/>
      </c>
      <c r="I14" s="360" t="n"/>
      <c r="J14" s="287" t="n"/>
      <c r="K14" s="287" t="n"/>
      <c r="L14" s="288">
        <f t="array" ref="L14">SUMPRODUCT((L11:L12*M11:M12)*N11:N12)</f>
        <v/>
      </c>
      <c r="P14" s="360" t="n"/>
      <c r="Q14" s="287" t="n"/>
      <c r="R14" s="287" t="n"/>
      <c r="S14" s="288">
        <f t="array" ref="S14">SUMPRODUCT((S11:S12*T11:T12)*U11:U12)</f>
        <v/>
      </c>
      <c r="W14" s="360" t="n"/>
      <c r="X14" s="287" t="n"/>
      <c r="Y14" s="287" t="n"/>
      <c r="Z14" s="288">
        <f t="array" ref="Z14">SUMPRODUCT((Z11:Z12*AA11:AA12)*AB11:AB12)</f>
        <v/>
      </c>
      <c r="AD14" s="360" t="n"/>
      <c r="AE14" s="287" t="n"/>
      <c r="AF14" s="287" t="n"/>
      <c r="AG14" s="33" t="n"/>
    </row>
    <row r="15" hidden="1" ht="15.6" customHeight="1">
      <c r="C15" s="78" t="n"/>
      <c r="D15" s="80" t="n"/>
      <c r="E15" s="81" t="n"/>
      <c r="F15" s="287" t="n"/>
      <c r="G15" s="287" t="n"/>
      <c r="H15" s="287" t="n"/>
      <c r="I15" s="288" t="n"/>
      <c r="J15" s="287" t="n"/>
      <c r="K15" s="287" t="n"/>
      <c r="L15" s="287" t="n"/>
      <c r="M15" s="287" t="n"/>
      <c r="N15" s="287" t="n"/>
      <c r="O15" s="287" t="n"/>
      <c r="P15" s="288" t="n"/>
      <c r="Q15" s="287" t="n"/>
      <c r="R15" s="287" t="n"/>
      <c r="S15" s="287" t="n"/>
      <c r="T15" s="287" t="n"/>
      <c r="U15" s="287" t="n"/>
      <c r="V15" s="287" t="n"/>
      <c r="W15" s="288" t="n"/>
      <c r="X15" s="287" t="n"/>
      <c r="Y15" s="287" t="n"/>
      <c r="Z15" s="81" t="n"/>
      <c r="AA15" s="287" t="n"/>
      <c r="AB15" s="287" t="n"/>
      <c r="AC15" s="287" t="n"/>
      <c r="AD15" s="288" t="n"/>
      <c r="AE15" s="287" t="n"/>
      <c r="AF15" s="287" t="n"/>
      <c r="AG15" s="48" t="n"/>
    </row>
    <row r="16" hidden="1" ht="15.6" customHeight="1">
      <c r="C16" s="78" t="n"/>
      <c r="D16" s="80" t="inlineStr">
        <is>
          <t xml:space="preserve">Recupero:  </t>
        </is>
      </c>
      <c r="E16" s="302" t="inlineStr">
        <is>
          <t xml:space="preserve"> Tra le ripetizioni 10"							</t>
        </is>
      </c>
      <c r="I16" s="360" t="n"/>
      <c r="J16" s="284" t="n"/>
      <c r="K16" s="284" t="n"/>
      <c r="L16" s="302" t="inlineStr">
        <is>
          <t xml:space="preserve"> Tra le ripetizioni 10"							</t>
        </is>
      </c>
      <c r="P16" s="360" t="n"/>
      <c r="Q16" s="284" t="n"/>
      <c r="R16" s="284" t="n"/>
      <c r="S16" s="302" t="inlineStr">
        <is>
          <t xml:space="preserve"> Tra le ripetizioni 10"							</t>
        </is>
      </c>
      <c r="W16" s="360" t="n"/>
      <c r="X16" s="284" t="n"/>
      <c r="Y16" s="284" t="n"/>
      <c r="Z16" s="302" t="inlineStr">
        <is>
          <t xml:space="preserve"> Tra le ripetizioni 10"							</t>
        </is>
      </c>
      <c r="AD16" s="360" t="n"/>
      <c r="AE16" s="301" t="n"/>
      <c r="AF16" s="301" t="n"/>
      <c r="AG16" s="37" t="n"/>
    </row>
    <row r="17" hidden="1" ht="15.6" customHeight="1">
      <c r="C17" s="78" t="n"/>
      <c r="D17" s="80" t="n"/>
      <c r="E17" s="285" t="inlineStr">
        <is>
          <t xml:space="preserve"> Tra le serie 2'</t>
        </is>
      </c>
      <c r="I17" s="360" t="n"/>
      <c r="J17" s="284" t="n"/>
      <c r="K17" s="284" t="n"/>
      <c r="L17" s="285" t="inlineStr">
        <is>
          <t xml:space="preserve"> Tra le serie 2'</t>
        </is>
      </c>
      <c r="P17" s="360" t="n"/>
      <c r="Q17" s="284" t="n"/>
      <c r="R17" s="284" t="n"/>
      <c r="S17" s="285" t="inlineStr">
        <is>
          <t xml:space="preserve"> Tra le serie 2'</t>
        </is>
      </c>
      <c r="W17" s="360" t="n"/>
      <c r="X17" s="284" t="n"/>
      <c r="Y17" s="284" t="n"/>
      <c r="Z17" s="285" t="inlineStr">
        <is>
          <t xml:space="preserve"> Tra le serie 2'</t>
        </is>
      </c>
      <c r="AD17" s="360" t="n"/>
      <c r="AE17" s="284" t="n"/>
      <c r="AF17" s="284" t="n"/>
      <c r="AG17" s="37" t="n"/>
    </row>
    <row r="18" hidden="1" ht="15.75" customHeight="1">
      <c r="C18" s="78" t="n"/>
      <c r="D18" s="81" t="inlineStr">
        <is>
          <t>No rest tra le ripetizioni di stacco</t>
        </is>
      </c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9" t="n"/>
    </row>
    <row r="19" hidden="1">
      <c r="C19" s="78" t="n"/>
      <c r="D19" s="286" t="inlineStr">
        <is>
          <t>Esegui le sospensioni senza arrivare mai allo sfinimento (tranne nell'AMRAP), nel caso siano facili aumenta la zavorra</t>
        </is>
      </c>
      <c r="AA19" s="40" t="n"/>
      <c r="AB19" s="40" t="n"/>
      <c r="AC19" s="40" t="n"/>
      <c r="AD19" s="40" t="n"/>
      <c r="AE19" s="40" t="n"/>
      <c r="AF19" s="40" t="n"/>
      <c r="AG19" s="41" t="n"/>
    </row>
    <row r="20" hidden="1" ht="14.45" customHeight="1">
      <c r="C20" s="78" t="n"/>
      <c r="D20" s="286" t="inlineStr">
        <is>
          <t>Esegui l'AMRAP entrambi i giorni di allenamento recuperando 3' prima di farlo</t>
        </is>
      </c>
      <c r="M20" s="286" t="n"/>
      <c r="N20" s="286" t="n"/>
      <c r="O20" s="286" t="n"/>
      <c r="P20" s="286" t="n"/>
      <c r="Q20" s="286" t="n"/>
      <c r="R20" s="286" t="n"/>
      <c r="S20" s="286" t="n"/>
      <c r="T20" s="286" t="n"/>
      <c r="U20" s="286" t="n"/>
      <c r="V20" s="286" t="n"/>
      <c r="W20" s="286" t="n"/>
      <c r="X20" s="286" t="n"/>
      <c r="Y20" s="286" t="n"/>
      <c r="Z20" s="286" t="n"/>
      <c r="AA20" s="40" t="n"/>
      <c r="AB20" s="40" t="n"/>
      <c r="AC20" s="40" t="n"/>
      <c r="AD20" s="40" t="n"/>
      <c r="AE20" s="40" t="n"/>
      <c r="AF20" s="40" t="n"/>
      <c r="AG20" s="41" t="n"/>
    </row>
    <row r="21" hidden="1" ht="15.75" customHeight="1" thickBot="1">
      <c r="C21" s="82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  <c r="AB21" s="283" t="n">
        <v>45263</v>
      </c>
      <c r="AC21" s="9" t="n"/>
      <c r="AD21" s="9" t="n"/>
      <c r="AE21" s="9" t="n"/>
      <c r="AF21" s="9" t="n"/>
      <c r="AG21" s="361" t="n"/>
    </row>
    <row r="22" hidden="1" ht="15.75" customHeight="1" thickTop="1">
      <c r="C22" s="1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12" t="n"/>
      <c r="AA22" s="12" t="n"/>
      <c r="AB22" s="12" t="n"/>
      <c r="AC22" s="12" t="n"/>
      <c r="AD22" s="12" t="n"/>
      <c r="AE22" s="12" t="n"/>
      <c r="AF22" s="12" t="n"/>
      <c r="AG22" s="12" t="n"/>
    </row>
    <row r="23">
      <c r="C23" s="12" t="n"/>
      <c r="D23" s="12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  <c r="X23" s="83" t="n"/>
      <c r="Y23" s="83" t="n"/>
      <c r="Z23" s="12" t="n"/>
      <c r="AA23" s="12" t="n"/>
      <c r="AB23" s="12" t="n"/>
      <c r="AC23" s="12" t="n"/>
      <c r="AD23" s="12" t="n"/>
      <c r="AE23" s="12" t="n"/>
      <c r="AF23" s="12" t="n"/>
      <c r="AG23" s="12" t="n"/>
    </row>
    <row r="24" ht="15.6" customHeight="1">
      <c r="C24" s="294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</row>
    <row r="25" ht="15.6" customHeight="1" thickBot="1">
      <c r="C25" s="25" t="inlineStr">
        <is>
          <t>WEEK 5-8</t>
        </is>
      </c>
      <c r="D25" s="81" t="n"/>
      <c r="E25" s="12" t="n"/>
      <c r="F25" s="12" t="n"/>
      <c r="G25" s="27" t="n"/>
      <c r="H25" s="27" t="n"/>
      <c r="I25" s="141" t="n"/>
      <c r="J25" s="141" t="n"/>
      <c r="K25" s="141" t="n"/>
      <c r="L25" s="12" t="n"/>
      <c r="M25" s="289" t="inlineStr">
        <is>
          <t>INVERNO 2024</t>
        </is>
      </c>
      <c r="N25" s="9" t="n"/>
      <c r="O25" s="9" t="n"/>
      <c r="P25" s="28" t="n"/>
      <c r="Q25" s="28" t="n"/>
      <c r="R25" s="28" t="n"/>
      <c r="S25" s="28" t="n"/>
      <c r="T25" s="12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350">
        <f>$AG$3</f>
        <v/>
      </c>
    </row>
    <row r="26" ht="40.9" customHeight="1" thickBot="1" thickTop="1">
      <c r="C26" s="290" t="n"/>
      <c r="D26" s="355" t="n"/>
      <c r="E26" s="355" t="n"/>
      <c r="F26" s="355" t="n"/>
      <c r="G26" s="355" t="n"/>
      <c r="H26" s="355" t="n"/>
      <c r="I26" s="355" t="n"/>
      <c r="J26" s="355" t="n"/>
      <c r="K26" s="355" t="n"/>
      <c r="L26" s="355" t="n"/>
      <c r="M26" s="355" t="n"/>
      <c r="N26" s="355" t="n"/>
      <c r="O26" s="355" t="n"/>
      <c r="P26" s="355" t="n"/>
      <c r="Q26" s="355" t="n"/>
      <c r="R26" s="355" t="n"/>
      <c r="S26" s="355" t="n"/>
      <c r="T26" s="355" t="n"/>
      <c r="U26" s="355" t="n"/>
      <c r="V26" s="355" t="n"/>
      <c r="W26" s="355" t="n"/>
      <c r="X26" s="355" t="n"/>
      <c r="Y26" s="355" t="n"/>
      <c r="Z26" s="355" t="n"/>
      <c r="AA26" s="355" t="n"/>
      <c r="AB26" s="355" t="n"/>
      <c r="AC26" s="293">
        <f>$AG$4</f>
        <v/>
      </c>
      <c r="AD26" s="355" t="n"/>
      <c r="AE26" s="355" t="n"/>
      <c r="AF26" s="355" t="n"/>
      <c r="AG26" s="357" t="n"/>
    </row>
    <row r="27" ht="15.6" customHeight="1" thickBot="1" thickTop="1">
      <c r="C27" s="356" t="inlineStr">
        <is>
          <t>2024_02_SOSPENSIONI</t>
        </is>
      </c>
      <c r="D27" s="355" t="n"/>
      <c r="E27" s="355" t="n"/>
      <c r="F27" s="355" t="n"/>
      <c r="G27" s="355" t="n"/>
      <c r="H27" s="355" t="n"/>
      <c r="I27" s="355" t="n"/>
      <c r="J27" s="355" t="n"/>
      <c r="K27" s="355" t="n"/>
      <c r="L27" s="355" t="n"/>
      <c r="M27" s="355" t="n"/>
      <c r="N27" s="355" t="n"/>
      <c r="O27" s="355" t="n"/>
      <c r="P27" s="355" t="n"/>
      <c r="Q27" s="355" t="n"/>
      <c r="R27" s="355" t="n"/>
      <c r="S27" s="355" t="n"/>
      <c r="T27" s="355" t="n"/>
      <c r="U27" s="355" t="n"/>
      <c r="V27" s="355" t="n"/>
      <c r="W27" s="355" t="n"/>
      <c r="X27" s="355" t="n"/>
      <c r="Y27" s="355" t="n"/>
      <c r="Z27" s="355" t="n"/>
      <c r="AA27" s="355" t="n"/>
      <c r="AB27" s="355" t="n"/>
      <c r="AC27" s="355" t="n"/>
      <c r="AD27" s="355" t="n"/>
      <c r="AE27" s="355" t="n"/>
      <c r="AF27" s="355" t="n"/>
      <c r="AG27" s="357" t="n"/>
    </row>
    <row r="28" ht="15.75" customHeight="1" thickTop="1">
      <c r="C28" s="75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7" t="n"/>
    </row>
    <row r="29" ht="15.75" customHeight="1">
      <c r="C29" s="78" t="n"/>
      <c r="D29" s="81" t="inlineStr">
        <is>
          <t>FORZA</t>
        </is>
      </c>
      <c r="E29" s="300" t="inlineStr">
        <is>
          <t>Wk 5</t>
        </is>
      </c>
      <c r="I29" s="358" t="n"/>
      <c r="J29" s="300" t="n"/>
      <c r="K29" s="300" t="n"/>
      <c r="L29" s="359" t="inlineStr">
        <is>
          <t>Wk 6</t>
        </is>
      </c>
      <c r="P29" s="358" t="n"/>
      <c r="Q29" s="300" t="n"/>
      <c r="R29" s="300" t="n"/>
      <c r="S29" s="359" t="inlineStr">
        <is>
          <t>Wk 7</t>
        </is>
      </c>
      <c r="W29" s="358" t="n"/>
      <c r="X29" s="300" t="n"/>
      <c r="Y29" s="300" t="n"/>
      <c r="Z29" s="298" t="inlineStr">
        <is>
          <t>Wk 8</t>
        </is>
      </c>
      <c r="AE29" s="81" t="n"/>
      <c r="AF29" s="81" t="n"/>
      <c r="AG29" s="48" t="n"/>
    </row>
    <row r="30" ht="15.75" customHeight="1">
      <c r="C30" s="78" t="n"/>
      <c r="D30" s="74" t="inlineStr">
        <is>
          <t>Esercizio</t>
        </is>
      </c>
      <c r="E30" s="95" t="inlineStr">
        <is>
          <t>TEMPO</t>
        </is>
      </c>
      <c r="F30" s="34" t="inlineStr">
        <is>
          <t>REP</t>
        </is>
      </c>
      <c r="G30" s="95" t="inlineStr">
        <is>
          <t>SET</t>
        </is>
      </c>
      <c r="H30" s="140" t="inlineStr">
        <is>
          <t>CARICO 1</t>
        </is>
      </c>
      <c r="I30" s="73" t="inlineStr">
        <is>
          <t>CARICO 2</t>
        </is>
      </c>
      <c r="J30" s="140" t="inlineStr">
        <is>
          <t>Rest</t>
        </is>
      </c>
      <c r="K30" s="140" t="inlineStr">
        <is>
          <t>TUT es</t>
        </is>
      </c>
      <c r="L30" s="95" t="inlineStr">
        <is>
          <t>TEMPO</t>
        </is>
      </c>
      <c r="M30" s="34" t="inlineStr">
        <is>
          <t>REP</t>
        </is>
      </c>
      <c r="N30" s="95" t="inlineStr">
        <is>
          <t>SET</t>
        </is>
      </c>
      <c r="O30" s="140" t="inlineStr">
        <is>
          <t>CARICO 1</t>
        </is>
      </c>
      <c r="P30" s="73" t="inlineStr">
        <is>
          <t>CARICO 2</t>
        </is>
      </c>
      <c r="Q30" s="140" t="inlineStr">
        <is>
          <t>Rest</t>
        </is>
      </c>
      <c r="R30" s="140" t="inlineStr">
        <is>
          <t>TUT es</t>
        </is>
      </c>
      <c r="S30" s="95" t="inlineStr">
        <is>
          <t>TEMPO</t>
        </is>
      </c>
      <c r="T30" s="34" t="inlineStr">
        <is>
          <t>REP</t>
        </is>
      </c>
      <c r="U30" s="95" t="inlineStr">
        <is>
          <t>SET</t>
        </is>
      </c>
      <c r="V30" s="140" t="inlineStr">
        <is>
          <t>CARICO 1</t>
        </is>
      </c>
      <c r="W30" s="73" t="inlineStr">
        <is>
          <t>CARICO 2</t>
        </is>
      </c>
      <c r="X30" s="140" t="inlineStr">
        <is>
          <t>Rest</t>
        </is>
      </c>
      <c r="Y30" s="140" t="inlineStr">
        <is>
          <t>TUT es</t>
        </is>
      </c>
      <c r="Z30" s="95" t="inlineStr">
        <is>
          <t>TEMPO</t>
        </is>
      </c>
      <c r="AA30" s="34" t="inlineStr">
        <is>
          <t>REP</t>
        </is>
      </c>
      <c r="AB30" s="95" t="inlineStr">
        <is>
          <t>SET</t>
        </is>
      </c>
      <c r="AC30" s="140" t="inlineStr">
        <is>
          <t>CARICO 1</t>
        </is>
      </c>
      <c r="AD30" s="73" t="inlineStr">
        <is>
          <t>CARICO 2</t>
        </is>
      </c>
      <c r="AE30" s="140" t="inlineStr">
        <is>
          <t>Rest</t>
        </is>
      </c>
      <c r="AF30" s="140" t="inlineStr">
        <is>
          <t>TUT es</t>
        </is>
      </c>
      <c r="AG30" s="33" t="n"/>
    </row>
    <row r="31" ht="16.15" customHeight="1">
      <c r="C31" s="78" t="n"/>
      <c r="D31" s="79" t="inlineStr">
        <is>
          <t>Stacco da terra pinch - pollice solo ultima falange*</t>
        </is>
      </c>
      <c r="E31" s="94" t="inlineStr">
        <is>
          <t>X</t>
        </is>
      </c>
      <c r="F31" s="35" t="n">
        <v>5</v>
      </c>
      <c r="G31" s="94" t="n">
        <v>3</v>
      </c>
      <c r="H31" s="287" t="n"/>
      <c r="I31" s="238" t="n"/>
      <c r="J31" s="287" t="n"/>
      <c r="K31" s="287">
        <f>(E31*F31)+(F31*J31)</f>
        <v/>
      </c>
      <c r="L31" s="94" t="inlineStr">
        <is>
          <t>X</t>
        </is>
      </c>
      <c r="M31" s="35" t="n">
        <v>5</v>
      </c>
      <c r="N31" s="94" t="n">
        <v>3</v>
      </c>
      <c r="O31" s="287" t="n"/>
      <c r="P31" s="238" t="n"/>
      <c r="Q31" s="1">
        <f>$J31</f>
        <v/>
      </c>
      <c r="R31" s="287">
        <f>(L31*M31)+(M31*Q31)</f>
        <v/>
      </c>
      <c r="S31" s="94" t="inlineStr">
        <is>
          <t>X</t>
        </is>
      </c>
      <c r="T31" s="35" t="n">
        <v>6</v>
      </c>
      <c r="U31" s="94" t="n">
        <v>4</v>
      </c>
      <c r="V31" s="287" t="n"/>
      <c r="W31" s="238" t="n"/>
      <c r="X31" s="1">
        <f>$J31</f>
        <v/>
      </c>
      <c r="Y31" s="287">
        <f>(S31*T31)+(T31*X31)</f>
        <v/>
      </c>
      <c r="Z31" s="94" t="inlineStr">
        <is>
          <t>X</t>
        </is>
      </c>
      <c r="AA31" s="35" t="n">
        <v>5</v>
      </c>
      <c r="AB31" s="94" t="n">
        <v>2</v>
      </c>
      <c r="AC31" s="287" t="n"/>
      <c r="AD31" s="238" t="n"/>
      <c r="AE31">
        <f>$J31</f>
        <v/>
      </c>
      <c r="AF31" s="287">
        <f>(Z31*AA31)+(AA31*AE31)</f>
        <v/>
      </c>
      <c r="AG31" s="33" t="n"/>
      <c r="AH31" s="25" t="n"/>
      <c r="AI31" s="25" t="n"/>
      <c r="AJ31" s="25" t="n"/>
    </row>
    <row r="32" ht="15.75" customHeight="1">
      <c r="C32" s="78" t="n"/>
      <c r="D32" s="142" t="inlineStr">
        <is>
          <t>Stacco da terra tacca 20mm*</t>
        </is>
      </c>
      <c r="E32" s="143" t="inlineStr">
        <is>
          <t>X</t>
        </is>
      </c>
      <c r="F32" s="143" t="n">
        <v>6</v>
      </c>
      <c r="G32" s="143" t="n">
        <v>4</v>
      </c>
      <c r="H32" s="145" t="n"/>
      <c r="I32" s="239" t="n"/>
      <c r="J32" s="145" t="n"/>
      <c r="K32" s="145">
        <f>(E32*F32)+(F32*J32)</f>
        <v/>
      </c>
      <c r="L32" s="143" t="inlineStr">
        <is>
          <t>X</t>
        </is>
      </c>
      <c r="M32" s="143" t="n">
        <v>5</v>
      </c>
      <c r="N32" s="143" t="n">
        <v>4</v>
      </c>
      <c r="O32" s="145" t="n"/>
      <c r="P32" s="239" t="n"/>
      <c r="Q32" s="240">
        <f>$J32</f>
        <v/>
      </c>
      <c r="R32" s="145">
        <f>(L32*M32)+(M32*Q32)</f>
        <v/>
      </c>
      <c r="S32" s="143" t="inlineStr">
        <is>
          <t>X</t>
        </is>
      </c>
      <c r="T32" s="143" t="n">
        <v>5</v>
      </c>
      <c r="U32" s="143" t="n">
        <v>5</v>
      </c>
      <c r="V32" s="145" t="n"/>
      <c r="W32" s="239" t="n"/>
      <c r="X32" s="240">
        <f>$J32</f>
        <v/>
      </c>
      <c r="Y32" s="145">
        <f>(S32*T32)+(T32*X32)</f>
        <v/>
      </c>
      <c r="Z32" s="143" t="inlineStr">
        <is>
          <t>X</t>
        </is>
      </c>
      <c r="AA32" s="143" t="n">
        <v>4</v>
      </c>
      <c r="AB32" s="143" t="n">
        <v>3</v>
      </c>
      <c r="AC32" s="145" t="n"/>
      <c r="AD32" s="239" t="n"/>
      <c r="AE32" s="146">
        <f>$J32</f>
        <v/>
      </c>
      <c r="AF32" s="145">
        <f>(Z32*AA32)+(AA32*AE32)</f>
        <v/>
      </c>
      <c r="AG32" s="33" t="n"/>
      <c r="AH32" s="7" t="n"/>
    </row>
    <row r="33" ht="15.75" customHeight="1">
      <c r="C33" s="78" t="n"/>
      <c r="D33" s="79" t="inlineStr">
        <is>
          <t>Sospensioni svase</t>
        </is>
      </c>
      <c r="E33" s="287" t="n">
        <v>5</v>
      </c>
      <c r="F33" s="94" t="n">
        <v>2</v>
      </c>
      <c r="G33" s="94" t="n">
        <v>4</v>
      </c>
      <c r="H33" s="287" t="n"/>
      <c r="I33" s="238" t="n"/>
      <c r="J33" s="287" t="n"/>
      <c r="K33" s="287">
        <f>(E33*F33)+(F33*J33)</f>
        <v/>
      </c>
      <c r="L33" s="287" t="n">
        <v>5</v>
      </c>
      <c r="M33" s="94" t="n">
        <v>2</v>
      </c>
      <c r="N33" s="94" t="n">
        <v>3</v>
      </c>
      <c r="O33" s="287" t="n"/>
      <c r="P33" s="238" t="n"/>
      <c r="Q33" s="1">
        <f>$J33</f>
        <v/>
      </c>
      <c r="R33" s="287">
        <f>(L33*M33)+(M33*Q33)</f>
        <v/>
      </c>
      <c r="S33" s="287" t="n">
        <v>6</v>
      </c>
      <c r="T33" s="94" t="n">
        <v>2</v>
      </c>
      <c r="U33" s="94" t="n">
        <v>4</v>
      </c>
      <c r="V33" s="287" t="n"/>
      <c r="W33" s="238" t="n"/>
      <c r="X33" s="1">
        <f>$J33</f>
        <v/>
      </c>
      <c r="Y33" s="287">
        <f>(S33*T33)+(T33*X33)</f>
        <v/>
      </c>
      <c r="Z33" s="287" t="n">
        <v>6</v>
      </c>
      <c r="AA33" s="94" t="n">
        <v>2</v>
      </c>
      <c r="AB33" s="94" t="n">
        <v>3</v>
      </c>
      <c r="AC33" s="287" t="n"/>
      <c r="AD33" s="238" t="n"/>
      <c r="AE33">
        <f>$J33</f>
        <v/>
      </c>
      <c r="AF33" s="287">
        <f>(Z33*AA33)+(AA33*AE33)</f>
        <v/>
      </c>
      <c r="AG33" s="33" t="n"/>
    </row>
    <row r="34" ht="15.75" customHeight="1">
      <c r="C34" s="78" t="n"/>
      <c r="D34" s="142" t="inlineStr">
        <is>
          <t>Sospensioni 3 dita stese</t>
        </is>
      </c>
      <c r="E34" s="143" t="n">
        <v>6</v>
      </c>
      <c r="F34" s="143" t="n">
        <v>3</v>
      </c>
      <c r="G34" s="143" t="n">
        <v>2</v>
      </c>
      <c r="H34" s="145" t="n"/>
      <c r="I34" s="144" t="n"/>
      <c r="J34" s="145" t="n"/>
      <c r="K34" s="145" t="n"/>
      <c r="L34" s="143" t="n">
        <v>6</v>
      </c>
      <c r="M34" s="143" t="n">
        <v>3</v>
      </c>
      <c r="N34" s="143" t="n">
        <v>2</v>
      </c>
      <c r="O34" s="145" t="n"/>
      <c r="P34" s="144" t="n"/>
      <c r="Q34" s="145" t="n"/>
      <c r="R34" s="145" t="n"/>
      <c r="S34" s="143" t="n">
        <v>6</v>
      </c>
      <c r="T34" s="143" t="n">
        <v>3</v>
      </c>
      <c r="U34" s="143" t="n">
        <v>3</v>
      </c>
      <c r="V34" s="145" t="n"/>
      <c r="W34" s="144" t="n"/>
      <c r="X34" s="145" t="n"/>
      <c r="Y34" s="145" t="n"/>
      <c r="Z34" s="143" t="n">
        <v>6</v>
      </c>
      <c r="AA34" s="143" t="n">
        <v>3</v>
      </c>
      <c r="AB34" s="143" t="n">
        <v>3</v>
      </c>
      <c r="AC34" s="145" t="n"/>
      <c r="AD34" s="144" t="n"/>
      <c r="AF34" s="287" t="n"/>
      <c r="AG34" s="33" t="n"/>
    </row>
    <row r="35" ht="15.75" customHeight="1">
      <c r="C35" s="78" t="n"/>
      <c r="D35" s="79" t="inlineStr">
        <is>
          <t>Sospensione due mani tacca 20mm</t>
        </is>
      </c>
      <c r="E35" s="287" t="inlineStr">
        <is>
          <t>AMRAP</t>
        </is>
      </c>
      <c r="F35" s="94" t="n">
        <v>1</v>
      </c>
      <c r="G35" s="287" t="n">
        <v>1</v>
      </c>
      <c r="H35" s="241" t="n">
        <v>20</v>
      </c>
      <c r="I35" s="242" t="n">
        <v>20</v>
      </c>
      <c r="J35" s="287" t="n"/>
      <c r="K35" s="287" t="n"/>
      <c r="L35" s="287" t="inlineStr">
        <is>
          <t>AMRAP</t>
        </is>
      </c>
      <c r="M35" s="94" t="n">
        <v>1</v>
      </c>
      <c r="N35" s="287" t="n">
        <v>1</v>
      </c>
      <c r="O35" s="241" t="n">
        <v>20</v>
      </c>
      <c r="P35" s="242" t="n">
        <v>20</v>
      </c>
      <c r="R35" s="287" t="n"/>
      <c r="S35" s="287" t="inlineStr">
        <is>
          <t>AMRAP</t>
        </is>
      </c>
      <c r="T35" s="94" t="n">
        <v>1</v>
      </c>
      <c r="U35" s="287" t="n">
        <v>1</v>
      </c>
      <c r="V35" s="241" t="n">
        <v>20</v>
      </c>
      <c r="W35" s="242" t="n">
        <v>20</v>
      </c>
      <c r="Y35" s="287" t="n"/>
      <c r="Z35" s="287" t="inlineStr">
        <is>
          <t>AMRAP</t>
        </is>
      </c>
      <c r="AA35" s="94" t="n">
        <v>1</v>
      </c>
      <c r="AB35" s="287" t="n">
        <v>1</v>
      </c>
      <c r="AC35" s="241" t="n">
        <v>20</v>
      </c>
      <c r="AD35" s="242" t="n">
        <v>20</v>
      </c>
      <c r="AE35" s="145" t="n"/>
      <c r="AF35" s="145" t="n"/>
      <c r="AG35" s="33" t="n"/>
    </row>
    <row r="36" ht="15.75" customHeight="1">
      <c r="C36" s="78" t="n"/>
      <c r="D36" s="80" t="inlineStr">
        <is>
          <t>Volume totale:</t>
        </is>
      </c>
      <c r="E36" s="288">
        <f t="array" ref="E36">SUMPRODUCT((E33:E34*F33:F34)*G33:G34)</f>
        <v/>
      </c>
      <c r="I36" s="360" t="n"/>
      <c r="J36" s="287" t="n"/>
      <c r="K36" s="287" t="n"/>
      <c r="L36" s="288">
        <f t="array" ref="L36">SUMPRODUCT((L33:L34*M33:M34)*N33:N34)</f>
        <v/>
      </c>
      <c r="P36" s="360" t="n"/>
      <c r="Q36" s="287" t="n"/>
      <c r="R36" s="287" t="n"/>
      <c r="S36" s="288">
        <f t="array" ref="S36">SUMPRODUCT((S33:S34*T33:T34)*U33:U34)</f>
        <v/>
      </c>
      <c r="W36" s="360" t="n"/>
      <c r="X36" s="287" t="n"/>
      <c r="Y36" s="287" t="n"/>
      <c r="Z36" s="288">
        <f t="array" ref="Z36">SUMPRODUCT((Z33:Z34*AA33:AA34)*AB33:AB34)</f>
        <v/>
      </c>
      <c r="AD36" s="360" t="n"/>
      <c r="AE36" s="287" t="n"/>
      <c r="AF36" s="287" t="n"/>
      <c r="AG36" s="33" t="n"/>
    </row>
    <row r="37" ht="15.6" customHeight="1">
      <c r="C37" s="78" t="n"/>
      <c r="D37" s="80" t="n"/>
      <c r="E37" s="81" t="n"/>
      <c r="F37" s="287" t="n"/>
      <c r="G37" s="287" t="n"/>
      <c r="H37" s="287" t="n"/>
      <c r="I37" s="288" t="n"/>
      <c r="J37" s="287" t="n"/>
      <c r="K37" s="287" t="n"/>
      <c r="L37" s="287" t="n"/>
      <c r="M37" s="287" t="n"/>
      <c r="N37" s="287" t="n"/>
      <c r="O37" s="287" t="n"/>
      <c r="P37" s="288" t="n"/>
      <c r="Q37" s="287" t="n"/>
      <c r="R37" s="287" t="n"/>
      <c r="S37" s="287" t="n"/>
      <c r="T37" s="287" t="n"/>
      <c r="U37" s="287" t="n"/>
      <c r="V37" s="287" t="n"/>
      <c r="W37" s="288" t="n"/>
      <c r="X37" s="287" t="n"/>
      <c r="Y37" s="287" t="n"/>
      <c r="Z37" s="81" t="n"/>
      <c r="AA37" s="287" t="n"/>
      <c r="AB37" s="287" t="n"/>
      <c r="AC37" s="287" t="n"/>
      <c r="AD37" s="288" t="n"/>
      <c r="AE37" s="287" t="n"/>
      <c r="AF37" s="287" t="n"/>
      <c r="AG37" s="48" t="n"/>
    </row>
    <row r="38" ht="15.6" customHeight="1">
      <c r="C38" s="78" t="n"/>
      <c r="D38" s="80" t="inlineStr">
        <is>
          <t xml:space="preserve">Recupero:  </t>
        </is>
      </c>
      <c r="E38" s="302" t="inlineStr">
        <is>
          <t xml:space="preserve"> Tra le ripetizioni 10"							</t>
        </is>
      </c>
      <c r="I38" s="360" t="n"/>
      <c r="J38" s="284" t="n"/>
      <c r="K38" s="284" t="n"/>
      <c r="L38" s="302" t="inlineStr">
        <is>
          <t xml:space="preserve"> Tra le ripetizioni 10"							</t>
        </is>
      </c>
      <c r="P38" s="360" t="n"/>
      <c r="Q38" s="284" t="n"/>
      <c r="R38" s="284" t="n"/>
      <c r="S38" s="302" t="inlineStr">
        <is>
          <t xml:space="preserve"> Tra le ripetizioni 10"							</t>
        </is>
      </c>
      <c r="W38" s="360" t="n"/>
      <c r="X38" s="284" t="n"/>
      <c r="Y38" s="284" t="n"/>
      <c r="Z38" s="302" t="inlineStr">
        <is>
          <t xml:space="preserve"> Tra le ripetizioni 10"							</t>
        </is>
      </c>
      <c r="AD38" s="360" t="n"/>
      <c r="AE38" s="301" t="n"/>
      <c r="AF38" s="301" t="n"/>
      <c r="AG38" s="37" t="n"/>
    </row>
    <row r="39" ht="15.6" customHeight="1">
      <c r="C39" s="78" t="n"/>
      <c r="D39" s="80" t="n"/>
      <c r="E39" s="285" t="inlineStr">
        <is>
          <t xml:space="preserve"> Tra le serie 2'</t>
        </is>
      </c>
      <c r="I39" s="360" t="n"/>
      <c r="J39" s="284" t="n"/>
      <c r="K39" s="284" t="n"/>
      <c r="L39" s="285" t="inlineStr">
        <is>
          <t xml:space="preserve"> Tra le serie 2'</t>
        </is>
      </c>
      <c r="P39" s="360" t="n"/>
      <c r="Q39" s="284" t="n"/>
      <c r="R39" s="284" t="n"/>
      <c r="S39" s="285" t="inlineStr">
        <is>
          <t xml:space="preserve"> Tra le serie 2'</t>
        </is>
      </c>
      <c r="W39" s="360" t="n"/>
      <c r="X39" s="284" t="n"/>
      <c r="Y39" s="284" t="n"/>
      <c r="Z39" s="285" t="inlineStr">
        <is>
          <t xml:space="preserve"> Tra le serie 2'</t>
        </is>
      </c>
      <c r="AD39" s="360" t="n"/>
      <c r="AE39" s="284" t="n"/>
      <c r="AF39" s="284" t="n"/>
      <c r="AG39" s="37" t="n"/>
    </row>
    <row r="40" ht="15.75" customHeight="1">
      <c r="C40" s="78" t="n"/>
      <c r="D40" s="81" t="inlineStr">
        <is>
          <t>*No rest tra le ripetizioni di stacco</t>
        </is>
      </c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9" t="n"/>
    </row>
    <row r="41">
      <c r="C41" s="78" t="n"/>
      <c r="D41" s="286" t="inlineStr">
        <is>
          <t>Esegui le sospensioni senza arrivare mai allo sfinimento (tranne nell'AMRAP), nel caso siano facili aumenta la zavorra</t>
        </is>
      </c>
      <c r="AA41" s="40" t="n"/>
      <c r="AB41" s="40" t="n"/>
      <c r="AC41" s="40" t="n"/>
      <c r="AD41" s="40" t="n"/>
      <c r="AE41" s="40" t="n"/>
      <c r="AF41" s="40" t="n"/>
      <c r="AG41" s="41" t="n"/>
    </row>
    <row r="42" ht="14.45" customHeight="1">
      <c r="C42" s="78" t="n"/>
      <c r="D42" s="286" t="inlineStr">
        <is>
          <t>Esegui l'AMRAP entrambi i giorni di allenamento recuperando 3' prima di farlo</t>
        </is>
      </c>
      <c r="T42" s="286" t="n"/>
      <c r="U42" s="286" t="n"/>
      <c r="V42" s="286" t="n"/>
      <c r="W42" s="286" t="n"/>
      <c r="X42" s="286" t="n"/>
      <c r="Y42" s="286" t="n"/>
      <c r="Z42" s="286" t="n"/>
      <c r="AA42" s="40" t="n"/>
      <c r="AB42" s="40" t="n"/>
      <c r="AC42" s="40" t="n"/>
      <c r="AD42" s="40" t="n"/>
      <c r="AE42" s="40" t="n"/>
      <c r="AF42" s="40" t="n"/>
      <c r="AG42" s="41" t="n"/>
    </row>
    <row r="43" ht="15.75" customHeight="1" thickBot="1">
      <c r="C43" s="82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283" t="n">
        <v>45333</v>
      </c>
      <c r="AC43" s="9" t="n"/>
      <c r="AD43" s="9" t="n"/>
      <c r="AE43" s="9" t="n"/>
      <c r="AF43" s="9" t="n"/>
      <c r="AG43" s="361" t="n"/>
    </row>
    <row r="44" ht="15.75" customHeight="1" thickTop="1">
      <c r="C44" s="294" t="n"/>
      <c r="D44" s="84" t="n"/>
      <c r="E44" s="12" t="n"/>
      <c r="F44" s="12" t="inlineStr">
        <is>
          <t>5;5;5</t>
        </is>
      </c>
      <c r="G44" s="12" t="n"/>
      <c r="H44" s="12" t="n"/>
      <c r="I44" s="12" t="n"/>
      <c r="J44" s="12" t="n"/>
      <c r="K44" s="12" t="n"/>
      <c r="L44" s="12" t="inlineStr">
        <is>
          <t>15.7kg</t>
        </is>
      </c>
      <c r="M44" s="12" t="inlineStr">
        <is>
          <t>5;5;5</t>
        </is>
      </c>
      <c r="N44" s="12" t="n">
        <v>7.5</v>
      </c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42" t="n"/>
      <c r="AA44" s="42" t="n"/>
      <c r="AB44" s="42" t="n"/>
      <c r="AC44" s="42" t="n"/>
      <c r="AD44" s="42" t="n"/>
      <c r="AE44" s="42" t="n"/>
      <c r="AF44" s="42" t="n"/>
      <c r="AG44" s="42" t="n"/>
    </row>
    <row r="45">
      <c r="C45" s="294" t="n"/>
      <c r="D45" s="84" t="n"/>
      <c r="E45" s="12" t="n"/>
      <c r="F45" s="12" t="inlineStr">
        <is>
          <t>6;6;6;6</t>
        </is>
      </c>
      <c r="G45" s="12" t="n"/>
      <c r="H45" s="12" t="n"/>
      <c r="I45" s="12" t="n"/>
      <c r="J45" s="12" t="n"/>
      <c r="K45" s="12" t="n"/>
      <c r="L45" s="12" t="inlineStr">
        <is>
          <t>32.5 kg</t>
        </is>
      </c>
      <c r="M45" s="12" t="inlineStr">
        <is>
          <t>6;6;6;6</t>
        </is>
      </c>
      <c r="N45" s="12" t="n">
        <v>8.5</v>
      </c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</row>
    <row r="46"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inlineStr">
        <is>
          <t>2;2;2</t>
        </is>
      </c>
      <c r="N46" s="12" t="n">
        <v>7</v>
      </c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</row>
    <row r="47"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>
        <v>7</v>
      </c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</row>
  </sheetData>
  <mergeCells count="46">
    <mergeCell ref="Z36:AD36"/>
    <mergeCell ref="L17:P17"/>
    <mergeCell ref="C24:D24"/>
    <mergeCell ref="S16:W16"/>
    <mergeCell ref="L7:P7"/>
    <mergeCell ref="L16:P16"/>
    <mergeCell ref="C27:AG27"/>
    <mergeCell ref="M25:O25"/>
    <mergeCell ref="D19:Z19"/>
    <mergeCell ref="AB21:AG21"/>
    <mergeCell ref="E39:I39"/>
    <mergeCell ref="E14:I14"/>
    <mergeCell ref="AB43:AG43"/>
    <mergeCell ref="E17:I17"/>
    <mergeCell ref="D42:S42"/>
    <mergeCell ref="S17:W17"/>
    <mergeCell ref="S39:W39"/>
    <mergeCell ref="E29:I29"/>
    <mergeCell ref="E38:I38"/>
    <mergeCell ref="Z16:AD16"/>
    <mergeCell ref="C26:AB26"/>
    <mergeCell ref="S7:W7"/>
    <mergeCell ref="M3:O3"/>
    <mergeCell ref="S14:W14"/>
    <mergeCell ref="C4:AB4"/>
    <mergeCell ref="S38:W38"/>
    <mergeCell ref="L14:P14"/>
    <mergeCell ref="L39:P39"/>
    <mergeCell ref="AC26:AG26"/>
    <mergeCell ref="Z17:AD17"/>
    <mergeCell ref="D41:Z41"/>
    <mergeCell ref="Z39:AD39"/>
    <mergeCell ref="L29:P29"/>
    <mergeCell ref="L38:P38"/>
    <mergeCell ref="C5:AG5"/>
    <mergeCell ref="Z38:AD38"/>
    <mergeCell ref="Z7:AF7"/>
    <mergeCell ref="Z14:AD14"/>
    <mergeCell ref="Z29:AD29"/>
    <mergeCell ref="E36:I36"/>
    <mergeCell ref="D20:L20"/>
    <mergeCell ref="S36:W36"/>
    <mergeCell ref="E7:I7"/>
    <mergeCell ref="E16:I16"/>
    <mergeCell ref="S29:W29"/>
    <mergeCell ref="L36:P36"/>
  </mergeCells>
  <pageMargins left="0.2362204724409449" right="0.2362204724409449" top="0.7480314960629921" bottom="0.7480314960629921" header="0.3149606299212598" footer="0.3149606299212598"/>
  <pageSetup orientation="landscape" paperSize="9" scale="115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2026-04-16T10:14:48Z</dcterms:modified>
  <cp:lastModifiedBy>Samuele Malavasi</cp:lastModifiedBy>
</cp:coreProperties>
</file>