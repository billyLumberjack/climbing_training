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221660</colOff>
      <row>3</row>
      <rowOff>33867</rowOff>
    </from>
    <to>
      <col>13</col>
      <colOff>226695</colOff>
      <row>3</row>
      <rowOff>474134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210" b="25595"/>
        <a:stretch xmlns:a="http://schemas.openxmlformats.org/drawingml/2006/main">
          <a:fillRect/>
        </a:stretch>
      </blipFill>
      <spPr>
        <a:xfrm xmlns:a="http://schemas.openxmlformats.org/drawingml/2006/main">
          <a:off x="6190660" y="609600"/>
          <a:ext cx="1275035" cy="440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I79"/>
  <sheetViews>
    <sheetView topLeftCell="B1" zoomScaleNormal="100" workbookViewId="0">
      <selection activeCell="W84" sqref="W84"/>
    </sheetView>
  </sheetViews>
  <sheetFormatPr baseColWidth="8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t="16.5" customHeight="1" thickBot="1">
      <c r="C3" s="25" t="inlineStr">
        <is>
          <t>WEEK 1-4</t>
        </is>
      </c>
      <c r="D3" s="26" t="n"/>
      <c r="G3" s="27" t="n"/>
      <c r="H3" s="27" t="n"/>
      <c r="I3" s="140" t="n"/>
      <c r="J3" s="140" t="n"/>
      <c r="L3" s="304" t="inlineStr">
        <is>
          <t>INVERNO 2025</t>
        </is>
      </c>
      <c r="M3" s="9" t="n"/>
      <c r="N3" s="28" t="n"/>
      <c r="O3" s="28" t="n"/>
      <c r="P3" s="28" t="n"/>
      <c r="Q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321" t="inlineStr">
        <is>
          <t>SAMUELE MALAVASI</t>
        </is>
      </c>
      <c r="AG3" s="42" t="n"/>
      <c r="AH3" s="42" t="n"/>
      <c r="AI3" s="42" t="n"/>
    </row>
    <row r="4" ht="40.15" customHeight="1" thickBot="1" thickTop="1">
      <c r="C4" s="305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344" t="n"/>
      <c r="U4" s="344" t="n"/>
      <c r="V4" s="344" t="n"/>
      <c r="W4" s="344" t="n"/>
      <c r="X4" s="344" t="n"/>
      <c r="Y4" s="344" t="n"/>
      <c r="AA4" s="180" t="n"/>
      <c r="AB4" s="180" t="n"/>
      <c r="AC4" s="181" t="inlineStr">
        <is>
          <t xml:space="preserve">S M </t>
        </is>
      </c>
      <c r="AD4" s="7" t="n"/>
      <c r="AG4" s="44" t="n"/>
      <c r="AH4" s="44" t="n"/>
      <c r="AI4" s="44" t="n"/>
    </row>
    <row r="5" ht="18.6" customHeight="1" thickBot="1" thickTop="1">
      <c r="C5" s="345" t="inlineStr">
        <is>
          <t>2025_02_SOSPENSIONI</t>
        </is>
      </c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344" t="n"/>
      <c r="U5" s="344" t="n"/>
      <c r="V5" s="344" t="n"/>
      <c r="W5" s="344" t="n"/>
      <c r="X5" s="344" t="n"/>
      <c r="Y5" s="344" t="n"/>
      <c r="Z5" s="344" t="n"/>
      <c r="AA5" s="344" t="n"/>
      <c r="AB5" s="344" t="n"/>
      <c r="AC5" s="346" t="n"/>
    </row>
    <row r="6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7" t="n"/>
      <c r="AG6" s="42" t="n"/>
      <c r="AH6" s="42" t="n"/>
      <c r="AI6" s="42" t="n"/>
    </row>
    <row r="7" ht="15.75" customHeight="1">
      <c r="C7" s="78" t="n"/>
      <c r="D7" s="25" t="inlineStr">
        <is>
          <t>FORZA</t>
        </is>
      </c>
      <c r="E7" s="310" t="inlineStr">
        <is>
          <t>Wk 1</t>
        </is>
      </c>
      <c r="H7" s="347" t="n"/>
      <c r="I7" s="310" t="n"/>
      <c r="J7" s="310" t="n"/>
      <c r="K7" s="310" t="inlineStr">
        <is>
          <t>Wk 2</t>
        </is>
      </c>
      <c r="N7" s="347" t="n"/>
      <c r="O7" s="310" t="n"/>
      <c r="P7" s="310" t="n"/>
      <c r="Q7" s="310" t="inlineStr">
        <is>
          <t>Wk 3</t>
        </is>
      </c>
      <c r="T7" s="347" t="n"/>
      <c r="U7" s="310" t="n"/>
      <c r="V7" s="310" t="n"/>
      <c r="W7" s="310" t="inlineStr">
        <is>
          <t>Wk 4</t>
        </is>
      </c>
      <c r="Z7" s="347" t="n"/>
      <c r="AA7" s="260" t="n"/>
      <c r="AB7" s="260" t="n"/>
      <c r="AC7" s="33" t="n"/>
    </row>
    <row r="8" ht="15.75" customHeight="1">
      <c r="C8" s="78" t="n"/>
      <c r="D8" s="74" t="inlineStr">
        <is>
          <t>Esercizio</t>
        </is>
      </c>
      <c r="E8" s="94" t="inlineStr">
        <is>
          <t>TEMPO</t>
        </is>
      </c>
      <c r="F8" s="34" t="inlineStr">
        <is>
          <t>REP</t>
        </is>
      </c>
      <c r="G8" s="94" t="inlineStr">
        <is>
          <t>SET</t>
        </is>
      </c>
      <c r="H8" s="73" t="inlineStr">
        <is>
          <t>CARICO</t>
        </is>
      </c>
      <c r="I8" s="139" t="inlineStr">
        <is>
          <t>Rest</t>
        </is>
      </c>
      <c r="J8" s="139" t="inlineStr">
        <is>
          <t>TUT es</t>
        </is>
      </c>
      <c r="K8" s="94" t="inlineStr">
        <is>
          <t>TEMPO</t>
        </is>
      </c>
      <c r="L8" s="34" t="inlineStr">
        <is>
          <t>REP</t>
        </is>
      </c>
      <c r="M8" s="94" t="inlineStr">
        <is>
          <t>SET</t>
        </is>
      </c>
      <c r="N8" s="73" t="inlineStr">
        <is>
          <t>CARICO</t>
        </is>
      </c>
      <c r="O8" s="139" t="inlineStr">
        <is>
          <t>Rest</t>
        </is>
      </c>
      <c r="P8" s="139" t="inlineStr">
        <is>
          <t>TUT es</t>
        </is>
      </c>
      <c r="Q8" s="94" t="inlineStr">
        <is>
          <t>TEMPO</t>
        </is>
      </c>
      <c r="R8" s="34" t="inlineStr">
        <is>
          <t>REP</t>
        </is>
      </c>
      <c r="S8" s="94" t="inlineStr">
        <is>
          <t>SET</t>
        </is>
      </c>
      <c r="T8" s="73" t="inlineStr">
        <is>
          <t>CARICO</t>
        </is>
      </c>
      <c r="U8" s="139" t="inlineStr">
        <is>
          <t>Rest</t>
        </is>
      </c>
      <c r="V8" s="139" t="inlineStr">
        <is>
          <t>TUT es</t>
        </is>
      </c>
      <c r="W8" s="94" t="inlineStr">
        <is>
          <t>TEMPO</t>
        </is>
      </c>
      <c r="X8" s="34" t="inlineStr">
        <is>
          <t>REP</t>
        </is>
      </c>
      <c r="Y8" s="94" t="inlineStr">
        <is>
          <t>SET</t>
        </is>
      </c>
      <c r="Z8" s="73" t="inlineStr">
        <is>
          <t>CARICO</t>
        </is>
      </c>
      <c r="AA8" s="139" t="inlineStr">
        <is>
          <t>Rest</t>
        </is>
      </c>
      <c r="AB8" s="139" t="inlineStr">
        <is>
          <t>TUT es</t>
        </is>
      </c>
      <c r="AC8" s="33" t="n"/>
    </row>
    <row r="9" ht="15.75" customHeight="1">
      <c r="C9" s="78" t="n"/>
      <c r="D9" s="79" t="inlineStr">
        <is>
          <t>Stacco da terra 20mm</t>
        </is>
      </c>
      <c r="E9" s="93" t="inlineStr">
        <is>
          <t>X</t>
        </is>
      </c>
      <c r="F9" s="35" t="n">
        <v>1</v>
      </c>
      <c r="G9" s="93" t="n">
        <v>1</v>
      </c>
      <c r="H9" s="145" t="inlineStr">
        <is>
          <t>RPE6</t>
        </is>
      </c>
      <c r="I9" s="298" t="n"/>
      <c r="J9" s="298">
        <f>(E9*F9)+(F9*I9)</f>
        <v/>
      </c>
      <c r="K9" s="93" t="inlineStr">
        <is>
          <t>X</t>
        </is>
      </c>
      <c r="L9" s="35" t="n">
        <v>1</v>
      </c>
      <c r="M9" s="93" t="n">
        <v>1</v>
      </c>
      <c r="N9" s="145" t="inlineStr">
        <is>
          <t>RPE7</t>
        </is>
      </c>
      <c r="O9">
        <f>$I9</f>
        <v/>
      </c>
      <c r="P9" s="298">
        <f>(K9*L9)+(L9*O9)</f>
        <v/>
      </c>
      <c r="Q9" s="93" t="inlineStr">
        <is>
          <t>X</t>
        </is>
      </c>
      <c r="R9" s="35" t="n">
        <v>1</v>
      </c>
      <c r="S9" s="93" t="n">
        <v>1</v>
      </c>
      <c r="T9" s="145" t="inlineStr">
        <is>
          <t>RPE8</t>
        </is>
      </c>
      <c r="U9">
        <f>$I9</f>
        <v/>
      </c>
      <c r="V9" s="298">
        <f>(Q9*R9)+(R9*U9)</f>
        <v/>
      </c>
      <c r="W9" s="93" t="inlineStr">
        <is>
          <t>X</t>
        </is>
      </c>
      <c r="X9" s="35" t="inlineStr">
        <is>
          <t>AMRAP</t>
        </is>
      </c>
      <c r="Y9" s="93" t="n">
        <v>1</v>
      </c>
      <c r="Z9" s="145" t="n">
        <v>39</v>
      </c>
      <c r="AA9">
        <f>$I9</f>
        <v/>
      </c>
      <c r="AB9" s="298">
        <f>(W9*X9)+(X9*AA9)</f>
        <v/>
      </c>
      <c r="AC9" s="33" t="n"/>
    </row>
    <row r="10" ht="15.75" customHeight="1">
      <c r="C10" s="78" t="n"/>
      <c r="D10" s="79" t="inlineStr">
        <is>
          <t>Stacco da terra 20mm</t>
        </is>
      </c>
      <c r="E10" s="93" t="inlineStr">
        <is>
          <t>X</t>
        </is>
      </c>
      <c r="F10" s="35" t="n">
        <v>3</v>
      </c>
      <c r="G10" s="93" t="n">
        <v>2</v>
      </c>
      <c r="H10" s="239" t="inlineStr">
        <is>
          <t>37-39</t>
        </is>
      </c>
      <c r="I10" s="298" t="n"/>
      <c r="J10" s="298">
        <f>(E10*F10)+(F10*I10)</f>
        <v/>
      </c>
      <c r="K10" s="93" t="inlineStr">
        <is>
          <t>X</t>
        </is>
      </c>
      <c r="L10" s="35" t="n">
        <v>4</v>
      </c>
      <c r="M10" s="93" t="n">
        <v>2</v>
      </c>
      <c r="N10" s="239" t="inlineStr">
        <is>
          <t>37-39</t>
        </is>
      </c>
      <c r="O10">
        <f>$I10</f>
        <v/>
      </c>
      <c r="P10" s="298">
        <f>(K10*L10)+(L10*O10)</f>
        <v/>
      </c>
      <c r="Q10" s="93" t="inlineStr">
        <is>
          <t>X</t>
        </is>
      </c>
      <c r="R10" s="35" t="n">
        <v>5</v>
      </c>
      <c r="S10" s="93" t="n">
        <v>2</v>
      </c>
      <c r="T10" s="239" t="inlineStr">
        <is>
          <t>37-39</t>
        </is>
      </c>
      <c r="U10">
        <f>$I10</f>
        <v/>
      </c>
      <c r="V10" s="298">
        <f>(Q10*R10)+(R10*U10)</f>
        <v/>
      </c>
      <c r="W10" s="93" t="n"/>
      <c r="X10" s="35" t="n"/>
      <c r="Y10" s="93" t="n"/>
      <c r="Z10" s="145" t="n"/>
      <c r="AA10">
        <f>$I10</f>
        <v/>
      </c>
      <c r="AB10" s="298">
        <f>(W10*X10)+(X10*AA10)</f>
        <v/>
      </c>
      <c r="AC10" s="33" t="n"/>
      <c r="AD10" s="25" t="n"/>
      <c r="AE10" s="25" t="n"/>
      <c r="AF10" s="25" t="n"/>
    </row>
    <row r="11" ht="15.75" customHeight="1">
      <c r="C11" s="78" t="n"/>
      <c r="D11" s="141" t="inlineStr">
        <is>
          <t>Stacco da terra pinza</t>
        </is>
      </c>
      <c r="E11" s="142" t="inlineStr">
        <is>
          <t>X</t>
        </is>
      </c>
      <c r="F11" s="142" t="n">
        <v>5</v>
      </c>
      <c r="G11" s="142" t="n">
        <v>3</v>
      </c>
      <c r="H11" s="147" t="n"/>
      <c r="I11" s="144" t="n"/>
      <c r="J11" s="144">
        <f>(E11*F11)+(F11*I11)</f>
        <v/>
      </c>
      <c r="K11" s="142" t="inlineStr">
        <is>
          <t>X</t>
        </is>
      </c>
      <c r="L11" s="142" t="n">
        <v>6</v>
      </c>
      <c r="M11" s="142" t="n">
        <v>3</v>
      </c>
      <c r="N11" s="147" t="n"/>
      <c r="O11" s="146">
        <f>$I11</f>
        <v/>
      </c>
      <c r="P11" s="144">
        <f>(K11*L11)+(L11*O11)</f>
        <v/>
      </c>
      <c r="Q11" s="142" t="inlineStr">
        <is>
          <t>X</t>
        </is>
      </c>
      <c r="R11" s="142" t="n">
        <v>6</v>
      </c>
      <c r="S11" s="142" t="n">
        <v>4</v>
      </c>
      <c r="T11" s="147" t="n"/>
      <c r="U11" s="146">
        <f>$I11</f>
        <v/>
      </c>
      <c r="V11" s="144">
        <f>(Q11*R11)+(R11*U11)</f>
        <v/>
      </c>
      <c r="W11" s="142" t="inlineStr">
        <is>
          <t>X</t>
        </is>
      </c>
      <c r="X11" s="142" t="n">
        <v>7</v>
      </c>
      <c r="Y11" s="142" t="n">
        <v>3</v>
      </c>
      <c r="Z11" s="147" t="n"/>
      <c r="AA11" s="146">
        <f>$I11</f>
        <v/>
      </c>
      <c r="AB11" s="144">
        <f>(W11*X11)+(X11*AA11)</f>
        <v/>
      </c>
      <c r="AC11" s="33" t="n"/>
      <c r="AD11" s="7" t="n"/>
    </row>
    <row r="12" ht="15.75" customHeight="1">
      <c r="C12" s="78" t="n"/>
      <c r="D12" s="79" t="inlineStr">
        <is>
          <t>Sospensioni due mani 20mm</t>
        </is>
      </c>
      <c r="E12" s="298" t="n">
        <v>6</v>
      </c>
      <c r="F12" s="93" t="n">
        <v>3</v>
      </c>
      <c r="G12" s="93" t="n">
        <v>2</v>
      </c>
      <c r="H12" s="145" t="n"/>
      <c r="I12" s="298" t="n"/>
      <c r="J12" s="298">
        <f>(E12*F12)+(F12*I12)</f>
        <v/>
      </c>
      <c r="K12" s="298" t="n">
        <v>6</v>
      </c>
      <c r="L12" s="93" t="n">
        <v>3</v>
      </c>
      <c r="M12" s="93" t="n">
        <v>3</v>
      </c>
      <c r="N12" s="145" t="n"/>
      <c r="O12">
        <f>$I12</f>
        <v/>
      </c>
      <c r="P12" s="298">
        <f>(K12*L12)+(L12*O12)</f>
        <v/>
      </c>
      <c r="Q12" s="298" t="n">
        <v>6</v>
      </c>
      <c r="R12" s="93" t="n">
        <v>3</v>
      </c>
      <c r="S12" s="93" t="n">
        <v>3</v>
      </c>
      <c r="T12" s="145" t="n"/>
      <c r="U12">
        <f>$I12</f>
        <v/>
      </c>
      <c r="V12" s="298">
        <f>(Q12*R12)+(R12*U12)</f>
        <v/>
      </c>
      <c r="W12" s="298" t="n">
        <v>7</v>
      </c>
      <c r="X12" s="93" t="n">
        <v>3</v>
      </c>
      <c r="Y12" s="93" t="n">
        <v>2</v>
      </c>
      <c r="Z12" s="145" t="n"/>
      <c r="AA12">
        <f>$I12</f>
        <v/>
      </c>
      <c r="AB12" s="298">
        <f>(W12*X12)+(X12*AA12)</f>
        <v/>
      </c>
      <c r="AC12" s="33" t="n"/>
    </row>
    <row r="13" ht="15.75" customHeight="1">
      <c r="C13" s="78" t="n"/>
      <c r="D13" s="141" t="inlineStr">
        <is>
          <t>Sospensione due mani 20mm</t>
        </is>
      </c>
      <c r="E13" s="173" t="inlineStr">
        <is>
          <t>AMRAP</t>
        </is>
      </c>
      <c r="F13" s="142" t="n">
        <v>1</v>
      </c>
      <c r="G13" s="142" t="n">
        <v>1</v>
      </c>
      <c r="H13" s="143" t="n">
        <v>25</v>
      </c>
      <c r="I13" s="144" t="n"/>
      <c r="J13" s="144" t="n"/>
      <c r="K13" s="173" t="inlineStr">
        <is>
          <t>AMRAP</t>
        </is>
      </c>
      <c r="L13" s="142" t="n">
        <v>1</v>
      </c>
      <c r="M13" s="142" t="n">
        <v>1</v>
      </c>
      <c r="N13" s="143" t="n">
        <v>25</v>
      </c>
      <c r="O13" s="144" t="n"/>
      <c r="P13" s="144" t="n"/>
      <c r="Q13" s="173" t="inlineStr">
        <is>
          <t>AMRAP</t>
        </is>
      </c>
      <c r="R13" s="142" t="n">
        <v>1</v>
      </c>
      <c r="S13" s="142" t="n">
        <v>1</v>
      </c>
      <c r="T13" s="143" t="n">
        <v>25</v>
      </c>
      <c r="U13" s="144" t="n"/>
      <c r="V13" s="144" t="n"/>
      <c r="W13" s="173" t="inlineStr">
        <is>
          <t>AMRAP</t>
        </is>
      </c>
      <c r="X13" s="142" t="n">
        <v>1</v>
      </c>
      <c r="Y13" s="142" t="n">
        <v>1</v>
      </c>
      <c r="Z13" s="143" t="n">
        <v>25</v>
      </c>
      <c r="AA13" s="144" t="n"/>
      <c r="AB13" s="144" t="n"/>
      <c r="AC13" s="33" t="n"/>
    </row>
    <row r="14" ht="15.75" customHeight="1">
      <c r="C14" s="78" t="n"/>
      <c r="D14" s="80" t="inlineStr">
        <is>
          <t>Volume totale:</t>
        </is>
      </c>
      <c r="E14" s="299">
        <f t="array" ref="E14">SUMPRODUCT((E10:E12*F10:F12)*G10:G12)</f>
        <v/>
      </c>
      <c r="H14" s="348" t="n"/>
      <c r="I14" s="298" t="n"/>
      <c r="J14" s="298" t="n"/>
      <c r="K14" s="299">
        <f t="array" ref="K14">SUMPRODUCT((K10:K12*L10:L12)*M10:M12)</f>
        <v/>
      </c>
      <c r="N14" s="348" t="n"/>
      <c r="O14" s="298" t="n"/>
      <c r="P14" s="298" t="n"/>
      <c r="Q14" s="299">
        <f t="array" ref="Q14">SUMPRODUCT((Q10:Q12*R10:R12)*S10:S12)</f>
        <v/>
      </c>
      <c r="T14" s="348" t="n"/>
      <c r="U14" s="298" t="n"/>
      <c r="V14" s="298" t="n"/>
      <c r="W14" s="299">
        <f t="array" ref="W14">SUMPRODUCT((W10:W12*X10:X12)*Y10:Y12)</f>
        <v/>
      </c>
      <c r="Z14" s="348" t="n"/>
      <c r="AA14" s="298" t="n"/>
      <c r="AB14" s="298" t="n"/>
      <c r="AC14" s="33" t="n"/>
    </row>
    <row r="15" ht="15.6" customHeight="1">
      <c r="C15" s="78" t="n"/>
      <c r="D15" s="80" t="n"/>
      <c r="E15" s="81" t="n"/>
      <c r="F15" s="298" t="n"/>
      <c r="G15" s="298" t="n"/>
      <c r="H15" s="299" t="n"/>
      <c r="I15" s="298" t="n"/>
      <c r="J15" s="298" t="n"/>
      <c r="K15" s="298" t="n"/>
      <c r="L15" s="298" t="n"/>
      <c r="M15" s="298" t="n"/>
      <c r="N15" s="299" t="n"/>
      <c r="O15" s="298" t="n"/>
      <c r="P15" s="298" t="n"/>
      <c r="Q15" s="298" t="n"/>
      <c r="R15" s="298" t="n"/>
      <c r="S15" s="298" t="n"/>
      <c r="T15" s="299" t="n"/>
      <c r="U15" s="298" t="n"/>
      <c r="V15" s="298" t="n"/>
      <c r="W15" s="81" t="n"/>
      <c r="X15" s="298" t="n"/>
      <c r="Y15" s="298" t="n"/>
      <c r="Z15" s="299" t="n"/>
      <c r="AA15" s="298" t="n"/>
      <c r="AB15" s="298" t="n"/>
      <c r="AC15" s="48" t="n"/>
    </row>
    <row r="16" ht="15.6" customHeight="1">
      <c r="C16" s="78" t="n"/>
      <c r="D16" s="80" t="inlineStr">
        <is>
          <t xml:space="preserve">Recupero:  </t>
        </is>
      </c>
      <c r="E16" s="301" t="inlineStr">
        <is>
          <t xml:space="preserve"> Tra le ripetizioni 12"							</t>
        </is>
      </c>
      <c r="H16" s="348" t="n"/>
      <c r="I16" s="302" t="n"/>
      <c r="J16" s="302" t="n"/>
      <c r="K16" s="301" t="inlineStr">
        <is>
          <t xml:space="preserve"> Tra le ripetizioni 12"							</t>
        </is>
      </c>
      <c r="N16" s="348" t="n"/>
      <c r="O16" s="302" t="n"/>
      <c r="P16" s="302" t="n"/>
      <c r="Q16" s="301" t="inlineStr">
        <is>
          <t xml:space="preserve"> Tra le ripetizioni 12"							</t>
        </is>
      </c>
      <c r="T16" s="348" t="n"/>
      <c r="U16" s="302" t="n"/>
      <c r="V16" s="302" t="n"/>
      <c r="W16" s="301" t="inlineStr">
        <is>
          <t xml:space="preserve"> Tra le ripetizioni 12"							</t>
        </is>
      </c>
      <c r="Z16" s="348" t="n"/>
      <c r="AA16" s="300" t="n"/>
      <c r="AB16" s="300" t="n"/>
      <c r="AC16" s="37" t="n"/>
    </row>
    <row r="17" ht="15.6" customHeight="1">
      <c r="C17" s="78" t="n"/>
      <c r="D17" s="80" t="n"/>
      <c r="E17" s="303" t="inlineStr">
        <is>
          <t xml:space="preserve"> Tra le serie 2'30"</t>
        </is>
      </c>
      <c r="H17" s="348" t="n"/>
      <c r="I17" s="302" t="n"/>
      <c r="J17" s="302" t="n"/>
      <c r="K17" s="303" t="inlineStr">
        <is>
          <t xml:space="preserve"> Tra le serie 2'30"</t>
        </is>
      </c>
      <c r="N17" s="348" t="n"/>
      <c r="O17" s="302" t="n"/>
      <c r="P17" s="302" t="n"/>
      <c r="Q17" s="303" t="inlineStr">
        <is>
          <t xml:space="preserve"> Tra le serie 2'30"</t>
        </is>
      </c>
      <c r="T17" s="348" t="n"/>
      <c r="U17" s="302" t="n"/>
      <c r="V17" s="302" t="n"/>
      <c r="W17" s="303" t="inlineStr">
        <is>
          <t xml:space="preserve"> Tra le serie 2'30"</t>
        </is>
      </c>
      <c r="Z17" s="348" t="n"/>
      <c r="AA17" s="302" t="n"/>
      <c r="AB17" s="302" t="n"/>
      <c r="AC17" s="37" t="n"/>
    </row>
    <row r="18" ht="15.75" customHeight="1">
      <c r="C18" s="78" t="n"/>
      <c r="D18" s="80" t="n"/>
      <c r="E18" s="302" t="n"/>
      <c r="F18" s="302" t="n"/>
      <c r="G18" s="302" t="n"/>
      <c r="H18" s="302" t="n"/>
      <c r="I18" s="302" t="n"/>
      <c r="J18" s="302" t="n"/>
      <c r="K18" s="302" t="n"/>
      <c r="L18" s="302" t="n"/>
      <c r="M18" s="302" t="n"/>
      <c r="N18" s="302" t="n"/>
      <c r="O18" s="302" t="n"/>
      <c r="P18" s="302" t="n"/>
      <c r="Q18" s="302" t="n"/>
      <c r="R18" s="302" t="n"/>
      <c r="S18" s="302" t="n"/>
      <c r="T18" s="302" t="n"/>
      <c r="U18" s="302" t="n"/>
      <c r="V18" s="302" t="n"/>
      <c r="W18" s="302" t="n"/>
      <c r="X18" s="302" t="n"/>
      <c r="Y18" s="302" t="n"/>
      <c r="Z18" s="302" t="n"/>
      <c r="AA18" s="302" t="n"/>
      <c r="AB18" s="302" t="n"/>
      <c r="AC18" s="37" t="n"/>
    </row>
    <row r="19" ht="15.75" customHeight="1">
      <c r="C19" s="78" t="n"/>
      <c r="D19" s="25" t="inlineStr">
        <is>
          <t>FORZA 2</t>
        </is>
      </c>
      <c r="E19" s="310" t="inlineStr">
        <is>
          <t>Wk 1</t>
        </is>
      </c>
      <c r="H19" s="347" t="n"/>
      <c r="I19" s="310" t="n"/>
      <c r="J19" s="310" t="n"/>
      <c r="K19" s="310" t="inlineStr">
        <is>
          <t>Wk 2</t>
        </is>
      </c>
      <c r="N19" s="347" t="n"/>
      <c r="O19" s="310" t="n"/>
      <c r="P19" s="310" t="n"/>
      <c r="Q19" s="310" t="inlineStr">
        <is>
          <t>Wk 3</t>
        </is>
      </c>
      <c r="T19" s="347" t="n"/>
      <c r="U19" s="310" t="n"/>
      <c r="V19" s="310" t="n"/>
      <c r="W19" s="310" t="inlineStr">
        <is>
          <t>Wk 4</t>
        </is>
      </c>
      <c r="Z19" s="347" t="n"/>
      <c r="AA19" s="260" t="n"/>
      <c r="AB19" s="260" t="n"/>
      <c r="AC19" s="33" t="n"/>
    </row>
    <row r="20" ht="15.75" customHeight="1">
      <c r="C20" s="78" t="n"/>
      <c r="D20" s="74" t="inlineStr">
        <is>
          <t>Esercizio</t>
        </is>
      </c>
      <c r="E20" s="94" t="inlineStr">
        <is>
          <t>TEMPO</t>
        </is>
      </c>
      <c r="F20" s="34" t="inlineStr">
        <is>
          <t>REP</t>
        </is>
      </c>
      <c r="G20" s="94" t="inlineStr">
        <is>
          <t>SET</t>
        </is>
      </c>
      <c r="H20" s="73" t="inlineStr">
        <is>
          <t>CARICO</t>
        </is>
      </c>
      <c r="I20" s="139" t="inlineStr">
        <is>
          <t>Rest</t>
        </is>
      </c>
      <c r="J20" s="139" t="inlineStr">
        <is>
          <t>TUT es</t>
        </is>
      </c>
      <c r="K20" s="94" t="inlineStr">
        <is>
          <t>TEMPO</t>
        </is>
      </c>
      <c r="L20" s="34" t="inlineStr">
        <is>
          <t>REP</t>
        </is>
      </c>
      <c r="M20" s="94" t="inlineStr">
        <is>
          <t>SET</t>
        </is>
      </c>
      <c r="N20" s="73" t="inlineStr">
        <is>
          <t>CARICO</t>
        </is>
      </c>
      <c r="O20" s="139" t="inlineStr">
        <is>
          <t>Rest</t>
        </is>
      </c>
      <c r="P20" s="139" t="inlineStr">
        <is>
          <t>TUT es</t>
        </is>
      </c>
      <c r="Q20" s="94" t="inlineStr">
        <is>
          <t>TEMPO</t>
        </is>
      </c>
      <c r="R20" s="34" t="inlineStr">
        <is>
          <t>REP</t>
        </is>
      </c>
      <c r="S20" s="94" t="inlineStr">
        <is>
          <t>SET</t>
        </is>
      </c>
      <c r="T20" s="73" t="inlineStr">
        <is>
          <t>CARICO</t>
        </is>
      </c>
      <c r="U20" s="139" t="inlineStr">
        <is>
          <t>Rest</t>
        </is>
      </c>
      <c r="V20" s="139" t="inlineStr">
        <is>
          <t>TUT es</t>
        </is>
      </c>
      <c r="W20" s="94" t="inlineStr">
        <is>
          <t>TEMPO</t>
        </is>
      </c>
      <c r="X20" s="34" t="inlineStr">
        <is>
          <t>REP</t>
        </is>
      </c>
      <c r="Y20" s="94" t="inlineStr">
        <is>
          <t>SET</t>
        </is>
      </c>
      <c r="Z20" s="73" t="inlineStr">
        <is>
          <t>CARICO</t>
        </is>
      </c>
      <c r="AA20" s="139" t="inlineStr">
        <is>
          <t>Rest</t>
        </is>
      </c>
      <c r="AB20" s="139" t="inlineStr">
        <is>
          <t>TUT es</t>
        </is>
      </c>
      <c r="AC20" s="33" t="n"/>
    </row>
    <row r="21" ht="15.75" customHeight="1">
      <c r="C21" s="78" t="n"/>
      <c r="D21" s="79" t="inlineStr">
        <is>
          <t>Stacco da terra 20mm</t>
        </is>
      </c>
      <c r="E21" s="93" t="inlineStr">
        <is>
          <t>X</t>
        </is>
      </c>
      <c r="F21" s="35" t="n">
        <v>1</v>
      </c>
      <c r="G21" s="93" t="n">
        <v>1</v>
      </c>
      <c r="H21" s="145" t="inlineStr">
        <is>
          <t>RPE6</t>
        </is>
      </c>
      <c r="I21" s="298" t="n"/>
      <c r="J21" s="298">
        <f>(E21*F21)+(F21*I21)</f>
        <v/>
      </c>
      <c r="K21" s="93" t="inlineStr">
        <is>
          <t>X</t>
        </is>
      </c>
      <c r="L21" s="35" t="n">
        <v>1</v>
      </c>
      <c r="M21" s="93" t="n">
        <v>1</v>
      </c>
      <c r="N21" s="145" t="inlineStr">
        <is>
          <t>RPE7</t>
        </is>
      </c>
      <c r="O21">
        <f>$I21</f>
        <v/>
      </c>
      <c r="P21" s="298">
        <f>(K21*L21)+(L21*O21)</f>
        <v/>
      </c>
      <c r="Q21" s="93" t="inlineStr">
        <is>
          <t>X</t>
        </is>
      </c>
      <c r="R21" s="35" t="n">
        <v>1</v>
      </c>
      <c r="S21" s="93" t="n">
        <v>1</v>
      </c>
      <c r="T21" s="145" t="inlineStr">
        <is>
          <t>RPE8</t>
        </is>
      </c>
      <c r="U21">
        <f>$I21</f>
        <v/>
      </c>
      <c r="V21" s="298">
        <f>(Q21*R21)+(R21*U21)</f>
        <v/>
      </c>
      <c r="W21" s="93" t="inlineStr">
        <is>
          <t>X</t>
        </is>
      </c>
      <c r="X21" s="35" t="inlineStr">
        <is>
          <t>AMRAP</t>
        </is>
      </c>
      <c r="Y21" s="93" t="n">
        <v>1</v>
      </c>
      <c r="Z21" s="145" t="n">
        <v>39</v>
      </c>
      <c r="AA21">
        <f>$I21</f>
        <v/>
      </c>
      <c r="AB21" s="298">
        <f>(W21*X21)+(X21*AA21)</f>
        <v/>
      </c>
      <c r="AC21" s="33" t="n"/>
    </row>
    <row r="22" ht="15.75" customHeight="1">
      <c r="C22" s="78" t="n"/>
      <c r="D22" s="79" t="inlineStr">
        <is>
          <t>Stacco da terra 20mm</t>
        </is>
      </c>
      <c r="E22" s="93" t="inlineStr">
        <is>
          <t>X</t>
        </is>
      </c>
      <c r="F22" s="35" t="n">
        <v>3</v>
      </c>
      <c r="G22" s="93" t="n">
        <v>2</v>
      </c>
      <c r="H22" s="239" t="inlineStr">
        <is>
          <t>37-39</t>
        </is>
      </c>
      <c r="I22" s="298" t="n"/>
      <c r="J22" s="298">
        <f>(E22*F22)+(F22*I22)</f>
        <v/>
      </c>
      <c r="K22" s="93" t="inlineStr">
        <is>
          <t>X</t>
        </is>
      </c>
      <c r="L22" s="35" t="n">
        <v>4</v>
      </c>
      <c r="M22" s="93" t="n">
        <v>2</v>
      </c>
      <c r="N22" s="239" t="inlineStr">
        <is>
          <t>37-39</t>
        </is>
      </c>
      <c r="O22">
        <f>$I22</f>
        <v/>
      </c>
      <c r="P22" s="298">
        <f>(K22*L22)+(L22*O22)</f>
        <v/>
      </c>
      <c r="Q22" s="93" t="inlineStr">
        <is>
          <t>X</t>
        </is>
      </c>
      <c r="R22" s="35" t="n">
        <v>5</v>
      </c>
      <c r="S22" s="93" t="n">
        <v>2</v>
      </c>
      <c r="T22" s="239" t="inlineStr">
        <is>
          <t>37-39</t>
        </is>
      </c>
      <c r="U22">
        <f>$I22</f>
        <v/>
      </c>
      <c r="V22" s="298">
        <f>(Q22*R22)+(R22*U22)</f>
        <v/>
      </c>
      <c r="W22" s="93" t="n"/>
      <c r="X22" s="35" t="n"/>
      <c r="Y22" s="93" t="n"/>
      <c r="Z22" s="145" t="n"/>
      <c r="AA22">
        <f>$I22</f>
        <v/>
      </c>
      <c r="AB22" s="298">
        <f>(W22*X22)+(X22*AA22)</f>
        <v/>
      </c>
      <c r="AC22" s="33" t="n"/>
      <c r="AD22" s="25" t="n"/>
      <c r="AE22" s="25" t="n"/>
      <c r="AF22" s="25" t="n"/>
    </row>
    <row r="23" ht="15.75" customHeight="1">
      <c r="C23" s="78" t="n"/>
      <c r="D23" s="141" t="inlineStr">
        <is>
          <t>Stacco da terra pinza</t>
        </is>
      </c>
      <c r="E23" s="142" t="n">
        <v>10</v>
      </c>
      <c r="F23" s="142" t="n">
        <v>2</v>
      </c>
      <c r="G23" s="142" t="n">
        <v>3</v>
      </c>
      <c r="H23" s="147" t="n"/>
      <c r="I23" s="144" t="n"/>
      <c r="J23" s="144">
        <f>(E23*F23)+(F23*I23)</f>
        <v/>
      </c>
      <c r="K23" s="142" t="n">
        <v>12</v>
      </c>
      <c r="L23" s="142" t="n">
        <v>2</v>
      </c>
      <c r="M23" s="142" t="n">
        <v>3</v>
      </c>
      <c r="N23" s="147" t="n"/>
      <c r="O23" s="146">
        <f>$I23</f>
        <v/>
      </c>
      <c r="P23" s="144">
        <f>(K23*L23)+(L23*O23)</f>
        <v/>
      </c>
      <c r="Q23" s="142" t="n">
        <v>12</v>
      </c>
      <c r="R23" s="142" t="n">
        <v>2</v>
      </c>
      <c r="S23" s="142" t="n">
        <v>4</v>
      </c>
      <c r="T23" s="147" t="n"/>
      <c r="U23" s="146">
        <f>$I23</f>
        <v/>
      </c>
      <c r="V23" s="144">
        <f>(Q23*R23)+(R23*U23)</f>
        <v/>
      </c>
      <c r="W23" s="142" t="n">
        <v>14</v>
      </c>
      <c r="X23" s="142" t="n">
        <v>2</v>
      </c>
      <c r="Y23" s="142" t="n">
        <v>3</v>
      </c>
      <c r="Z23" s="147" t="n"/>
      <c r="AA23" s="146">
        <f>$I23</f>
        <v/>
      </c>
      <c r="AB23" s="144">
        <f>(W23*X23)+(X23*AA23)</f>
        <v/>
      </c>
      <c r="AC23" s="33" t="n"/>
      <c r="AD23" s="7" t="n"/>
    </row>
    <row r="24" ht="15.75" customHeight="1">
      <c r="C24" s="78" t="n"/>
      <c r="D24" s="79" t="inlineStr">
        <is>
          <t>Sospensioni micros</t>
        </is>
      </c>
      <c r="E24" s="298" t="n">
        <v>8</v>
      </c>
      <c r="F24" s="93" t="n">
        <v>3</v>
      </c>
      <c r="G24" s="93" t="n">
        <v>2</v>
      </c>
      <c r="H24" s="145" t="n"/>
      <c r="I24" s="298" t="n"/>
      <c r="J24" s="298">
        <f>(E24*F24)+(F24*I24)</f>
        <v/>
      </c>
      <c r="K24" s="298" t="n">
        <v>8</v>
      </c>
      <c r="L24" s="93" t="n">
        <v>3</v>
      </c>
      <c r="M24" s="93" t="n">
        <v>3</v>
      </c>
      <c r="N24" s="145" t="n"/>
      <c r="O24">
        <f>$I24</f>
        <v/>
      </c>
      <c r="P24" s="298">
        <f>(K24*L24)+(L24*O24)</f>
        <v/>
      </c>
      <c r="Q24" s="298" t="n">
        <v>8</v>
      </c>
      <c r="R24" s="93" t="n">
        <v>3</v>
      </c>
      <c r="S24" s="93" t="n">
        <v>3</v>
      </c>
      <c r="T24" s="145" t="n"/>
      <c r="U24">
        <f>$I24</f>
        <v/>
      </c>
      <c r="V24" s="298">
        <f>(Q24*R24)+(R24*U24)</f>
        <v/>
      </c>
      <c r="W24" s="298" t="n">
        <v>9</v>
      </c>
      <c r="X24" s="93" t="n">
        <v>3</v>
      </c>
      <c r="Y24" s="93" t="n">
        <v>2</v>
      </c>
      <c r="Z24" s="145" t="n"/>
      <c r="AA24">
        <f>$I24</f>
        <v/>
      </c>
      <c r="AB24" s="298">
        <f>(W24*X24)+(X24*AA24)</f>
        <v/>
      </c>
      <c r="AC24" s="33" t="n"/>
    </row>
    <row r="25" ht="15.75" customHeight="1">
      <c r="C25" s="78" t="n"/>
      <c r="D25" s="141" t="inlineStr">
        <is>
          <t>Sospensione due mani 20mm</t>
        </is>
      </c>
      <c r="E25" s="173" t="inlineStr">
        <is>
          <t>AMRAP</t>
        </is>
      </c>
      <c r="F25" s="142" t="n">
        <v>1</v>
      </c>
      <c r="G25" s="142" t="n">
        <v>1</v>
      </c>
      <c r="H25" s="143" t="n">
        <v>25</v>
      </c>
      <c r="I25" s="144" t="n"/>
      <c r="J25" s="144" t="n"/>
      <c r="K25" s="173" t="inlineStr">
        <is>
          <t>AMRAP</t>
        </is>
      </c>
      <c r="L25" s="142" t="n">
        <v>1</v>
      </c>
      <c r="M25" s="142" t="n">
        <v>1</v>
      </c>
      <c r="N25" s="143" t="n">
        <v>25</v>
      </c>
      <c r="O25" s="144" t="n"/>
      <c r="P25" s="144" t="n"/>
      <c r="Q25" s="173" t="inlineStr">
        <is>
          <t>AMRAP</t>
        </is>
      </c>
      <c r="R25" s="142" t="n">
        <v>1</v>
      </c>
      <c r="S25" s="142" t="n">
        <v>1</v>
      </c>
      <c r="T25" s="143" t="n">
        <v>25</v>
      </c>
      <c r="U25" s="144" t="n"/>
      <c r="V25" s="144" t="n"/>
      <c r="W25" s="173" t="inlineStr">
        <is>
          <t>AMRAP</t>
        </is>
      </c>
      <c r="X25" s="142" t="n">
        <v>1</v>
      </c>
      <c r="Y25" s="142" t="n">
        <v>1</v>
      </c>
      <c r="Z25" s="143" t="n">
        <v>25</v>
      </c>
      <c r="AA25" s="144" t="n"/>
      <c r="AB25" s="144" t="n"/>
      <c r="AC25" s="33" t="n"/>
    </row>
    <row r="26" ht="15.75" customHeight="1">
      <c r="C26" s="78" t="n"/>
      <c r="D26" s="80" t="inlineStr">
        <is>
          <t>Volume totale:</t>
        </is>
      </c>
      <c r="E26" s="299">
        <f t="array" ref="E26">SUMPRODUCT((E22:E24*F22:F24)*G22:G24)</f>
        <v/>
      </c>
      <c r="H26" s="348" t="n"/>
      <c r="I26" s="298" t="n"/>
      <c r="J26" s="298" t="n"/>
      <c r="K26" s="299">
        <f t="array" ref="K26">SUMPRODUCT((K22:K24*L22:L24)*M22:M24)</f>
        <v/>
      </c>
      <c r="N26" s="348" t="n"/>
      <c r="O26" s="298" t="n"/>
      <c r="P26" s="298" t="n"/>
      <c r="Q26" s="299">
        <f t="array" ref="Q26">SUMPRODUCT((Q22:Q24*R22:R24)*S22:S24)</f>
        <v/>
      </c>
      <c r="T26" s="348" t="n"/>
      <c r="U26" s="298" t="n"/>
      <c r="V26" s="298" t="n"/>
      <c r="W26" s="299">
        <f t="array" ref="W26">SUMPRODUCT((W22:W24*X22:X24)*Y22:Y24)</f>
        <v/>
      </c>
      <c r="Z26" s="348" t="n"/>
      <c r="AA26" s="298" t="n"/>
      <c r="AB26" s="298" t="n"/>
      <c r="AC26" s="33" t="n"/>
    </row>
    <row r="27" ht="15.6" customHeight="1">
      <c r="C27" s="78" t="n"/>
      <c r="D27" s="80" t="n"/>
      <c r="E27" s="81" t="n"/>
      <c r="F27" s="298" t="n"/>
      <c r="G27" s="298" t="n"/>
      <c r="H27" s="299" t="n"/>
      <c r="I27" s="298" t="n"/>
      <c r="J27" s="298" t="n"/>
      <c r="K27" s="298" t="n"/>
      <c r="L27" s="298" t="n"/>
      <c r="M27" s="298" t="n"/>
      <c r="N27" s="299" t="n"/>
      <c r="O27" s="298" t="n"/>
      <c r="P27" s="298" t="n"/>
      <c r="Q27" s="298" t="n"/>
      <c r="R27" s="298" t="n"/>
      <c r="S27" s="298" t="n"/>
      <c r="T27" s="299" t="n"/>
      <c r="U27" s="298" t="n"/>
      <c r="V27" s="298" t="n"/>
      <c r="W27" s="81" t="n"/>
      <c r="X27" s="298" t="n"/>
      <c r="Y27" s="298" t="n"/>
      <c r="Z27" s="299" t="n"/>
      <c r="AA27" s="298" t="n"/>
      <c r="AB27" s="298" t="n"/>
      <c r="AC27" s="48" t="n"/>
    </row>
    <row r="28" ht="15.6" customHeight="1">
      <c r="C28" s="78" t="n"/>
      <c r="D28" s="80" t="inlineStr">
        <is>
          <t xml:space="preserve">Recupero:  </t>
        </is>
      </c>
      <c r="E28" s="301" t="inlineStr">
        <is>
          <t xml:space="preserve"> Tra le ripetizioni 12"							</t>
        </is>
      </c>
      <c r="H28" s="348" t="n"/>
      <c r="I28" s="302" t="n"/>
      <c r="J28" s="302" t="n"/>
      <c r="K28" s="301" t="inlineStr">
        <is>
          <t xml:space="preserve"> Tra le ripetizioni 12"							</t>
        </is>
      </c>
      <c r="N28" s="348" t="n"/>
      <c r="O28" s="302" t="n"/>
      <c r="P28" s="302" t="n"/>
      <c r="Q28" s="301" t="inlineStr">
        <is>
          <t xml:space="preserve"> Tra le ripetizioni 12"							</t>
        </is>
      </c>
      <c r="T28" s="348" t="n"/>
      <c r="U28" s="302" t="n"/>
      <c r="V28" s="302" t="n"/>
      <c r="W28" s="301" t="inlineStr">
        <is>
          <t xml:space="preserve"> Tra le ripetizioni 12"							</t>
        </is>
      </c>
      <c r="Z28" s="348" t="n"/>
      <c r="AA28" s="300" t="n"/>
      <c r="AB28" s="300" t="n"/>
      <c r="AC28" s="37" t="n"/>
    </row>
    <row r="29" ht="15.6" customHeight="1">
      <c r="C29" s="78" t="n"/>
      <c r="D29" s="80" t="n"/>
      <c r="E29" s="303" t="inlineStr">
        <is>
          <t xml:space="preserve"> Tra le serie 2'30"</t>
        </is>
      </c>
      <c r="H29" s="348" t="n"/>
      <c r="I29" s="302" t="n"/>
      <c r="J29" s="302" t="n"/>
      <c r="K29" s="303" t="inlineStr">
        <is>
          <t xml:space="preserve"> Tra le serie 2'30"</t>
        </is>
      </c>
      <c r="N29" s="348" t="n"/>
      <c r="O29" s="302" t="n"/>
      <c r="P29" s="302" t="n"/>
      <c r="Q29" s="303" t="inlineStr">
        <is>
          <t xml:space="preserve"> Tra le serie 2'30"</t>
        </is>
      </c>
      <c r="T29" s="348" t="n"/>
      <c r="U29" s="302" t="n"/>
      <c r="V29" s="302" t="n"/>
      <c r="W29" s="303" t="inlineStr">
        <is>
          <t xml:space="preserve"> Tra le serie 2'30"</t>
        </is>
      </c>
      <c r="Z29" s="348" t="n"/>
      <c r="AA29" s="302" t="n"/>
      <c r="AB29" s="302" t="n"/>
      <c r="AC29" s="37" t="n"/>
    </row>
    <row r="30" ht="15.75" customHeight="1">
      <c r="C30" s="78" t="n"/>
      <c r="D30" s="81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9" t="n"/>
    </row>
    <row r="31">
      <c r="C31" s="78" t="n"/>
      <c r="D31" s="314" t="inlineStr">
        <is>
          <t>Esegui le sospensioni senza arrivare mai allo sfinimento (tranne nell'AMRAP), nel caso siano facili aumenta la zavorra</t>
        </is>
      </c>
      <c r="X31" s="40" t="n"/>
      <c r="Y31" s="40" t="n"/>
      <c r="Z31" s="40" t="n"/>
      <c r="AA31" s="40" t="n"/>
      <c r="AB31" s="40" t="n"/>
      <c r="AC31" s="41" t="n"/>
    </row>
    <row r="32" ht="14.45" customHeight="1">
      <c r="C32" s="78" t="n"/>
      <c r="D32" s="314" t="inlineStr">
        <is>
          <t>Esegui l'AMRAP entrambi i giorni di allenamento recuperando 3' prima di farlo</t>
        </is>
      </c>
      <c r="L32" s="314" t="n"/>
      <c r="M32" s="314" t="n"/>
      <c r="N32" s="314" t="n"/>
      <c r="O32" s="314" t="n"/>
      <c r="P32" s="314" t="n"/>
      <c r="Q32" s="314" t="n"/>
      <c r="R32" s="314" t="n"/>
      <c r="S32" s="314" t="n"/>
      <c r="T32" s="314" t="n"/>
      <c r="U32" s="314" t="n"/>
      <c r="V32" s="314" t="n"/>
      <c r="W32" s="314" t="n"/>
      <c r="X32" s="40" t="n"/>
      <c r="Y32" s="40" t="n"/>
      <c r="Z32" s="40" t="n"/>
      <c r="AA32" s="40" t="n"/>
      <c r="AB32" s="40" t="n"/>
      <c r="AC32" s="41" t="n"/>
    </row>
    <row r="33" ht="15.75" customHeight="1" thickBot="1">
      <c r="C33" s="82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313" t="n">
        <v>45705</v>
      </c>
      <c r="Z33" s="9" t="n"/>
      <c r="AA33" s="9" t="n"/>
      <c r="AB33" s="9" t="n"/>
      <c r="AC33" s="349" t="n"/>
    </row>
    <row r="34" ht="15.75" customHeight="1" thickTop="1">
      <c r="C34" s="1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12" t="n"/>
      <c r="X34" s="12" t="n"/>
      <c r="Y34" s="12" t="n"/>
      <c r="Z34" s="12" t="n"/>
      <c r="AA34" s="12" t="n"/>
      <c r="AB34" s="12" t="n"/>
      <c r="AC34" s="12" t="n"/>
    </row>
    <row r="35">
      <c r="C35" s="12" t="n"/>
      <c r="D35" s="12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12" t="n"/>
      <c r="X35" s="12" t="n"/>
      <c r="Y35" s="12" t="n"/>
      <c r="Z35" s="12" t="n"/>
      <c r="AA35" s="12" t="n"/>
      <c r="AB35" s="12" t="n"/>
      <c r="AC35" s="12" t="n"/>
    </row>
    <row r="36" ht="15.6" customHeight="1"/>
    <row r="37" ht="15.6" customHeight="1"/>
    <row r="38" ht="40.9" customHeight="1"/>
    <row r="39" ht="15.6" customHeight="1"/>
    <row r="40" ht="15.75" customHeight="1"/>
    <row r="44" ht="16.15" customHeight="1">
      <c r="AE44" s="25" t="n"/>
      <c r="AF44" s="25" t="n"/>
    </row>
    <row r="47" ht="15.75" customHeight="1"/>
    <row r="48" ht="15.6" customHeight="1"/>
    <row r="49" ht="15.6" customHeight="1"/>
    <row r="50" ht="15.6" customHeight="1"/>
    <row r="57" ht="15.75" customHeight="1"/>
    <row r="59" ht="15.6" customHeight="1"/>
    <row r="60" ht="15.6" customHeight="1"/>
    <row r="61" ht="15.6" customHeight="1"/>
    <row r="62" ht="15.6" customHeight="1"/>
    <row r="65" ht="15" customHeight="1"/>
    <row r="66" ht="14.45" customHeight="1"/>
    <row r="67" ht="15.75" customHeight="1"/>
    <row r="68" ht="15.75" customHeight="1"/>
    <row r="72" ht="16.5" customHeight="1"/>
    <row r="73" ht="40.15" customHeight="1"/>
    <row r="74" ht="18" customHeight="1"/>
    <row r="75" ht="15.75" customHeight="1"/>
    <row r="79" ht="16.15" customHeight="1">
      <c r="AE79" s="25" t="n"/>
      <c r="AF79" s="25" t="n"/>
    </row>
    <row r="82" ht="15.75" customHeight="1"/>
    <row r="83" ht="15.6" customHeight="1"/>
    <row r="84" ht="15.6" customHeight="1"/>
    <row r="85" ht="15.6" customHeight="1"/>
    <row r="92" ht="15.75" customHeight="1"/>
    <row r="94" ht="15.6" customHeight="1"/>
    <row r="95" ht="15.6" customHeight="1"/>
    <row r="96" ht="15.6" customHeight="1"/>
    <row r="97" ht="15.6" customHeight="1"/>
    <row r="98" ht="15.6" customHeight="1"/>
    <row r="99" ht="14.45" customHeight="1"/>
    <row r="100" ht="14.45" customHeight="1"/>
    <row r="101" ht="15.75" customHeight="1"/>
    <row r="102" ht="15.75" customHeight="1"/>
  </sheetData>
  <mergeCells count="38">
    <mergeCell ref="E26:H26"/>
    <mergeCell ref="K14:N14"/>
    <mergeCell ref="K17:N17"/>
    <mergeCell ref="Q17:T17"/>
    <mergeCell ref="W17:Z17"/>
    <mergeCell ref="E16:H16"/>
    <mergeCell ref="E7:H7"/>
    <mergeCell ref="K7:N7"/>
    <mergeCell ref="W29:Z29"/>
    <mergeCell ref="K19:N19"/>
    <mergeCell ref="W14:Z14"/>
    <mergeCell ref="L3:M3"/>
    <mergeCell ref="K28:N28"/>
    <mergeCell ref="D31:W31"/>
    <mergeCell ref="W28:Z28"/>
    <mergeCell ref="W19:Z19"/>
    <mergeCell ref="Q16:T16"/>
    <mergeCell ref="C4:Y4"/>
    <mergeCell ref="Q7:T7"/>
    <mergeCell ref="K16:N16"/>
    <mergeCell ref="D32:K32"/>
    <mergeCell ref="Q28:T28"/>
    <mergeCell ref="E14:H14"/>
    <mergeCell ref="E17:H17"/>
    <mergeCell ref="K26:N26"/>
    <mergeCell ref="K29:N29"/>
    <mergeCell ref="W26:Z26"/>
    <mergeCell ref="E29:H29"/>
    <mergeCell ref="Q29:T29"/>
    <mergeCell ref="E19:H19"/>
    <mergeCell ref="Q14:T14"/>
    <mergeCell ref="E28:H28"/>
    <mergeCell ref="Q19:T19"/>
    <mergeCell ref="Q26:T26"/>
    <mergeCell ref="Y33:AC33"/>
    <mergeCell ref="W16:Z16"/>
    <mergeCell ref="W7:Z7"/>
    <mergeCell ref="C5:AC5"/>
  </mergeCells>
  <pageMargins left="0.2362204724409449" right="0.2362204724409449" top="0.7480314960629921" bottom="0.7480314960629921" header="0.3149606299212598" footer="0.3149606299212598"/>
  <pageSetup orientation="landscape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2026-04-16T10:15:23Z</dcterms:modified>
  <cp:lastModifiedBy>Samuele Malavasi</cp:lastModifiedBy>
</cp:coreProperties>
</file>