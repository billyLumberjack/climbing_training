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4375" yWindow="90" windowWidth="24480" windowHeight="15585" tabRatio="600" firstSheet="9" autoFilterDateGrouping="1"/>
  </bookViews>
  <sheets>
    <sheet xmlns:r="http://schemas.openxmlformats.org/officeDocument/2006/relationships" name="NO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Rockwell Condensed"/>
      <family val="1"/>
      <color theme="1"/>
      <sz val="9"/>
    </font>
    <font>
      <name val="Calibri"/>
      <family val="2"/>
      <color theme="10"/>
      <sz val="14"/>
      <scheme val="minor"/>
    </font>
    <font>
      <name val="Calibri"/>
      <family val="2"/>
      <color rgb="FFFF0000"/>
      <sz val="14"/>
      <scheme val="minor"/>
    </font>
    <font>
      <name val="Rockwell Condensed"/>
      <family val="1"/>
      <color rgb="FF00B050"/>
      <sz val="12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6"/>
    <xf numFmtId="0" fontId="22" fillId="0" borderId="0"/>
    <xf numFmtId="0" fontId="28" fillId="14" borderId="0"/>
    <xf numFmtId="0" fontId="29" fillId="15" borderId="0"/>
  </cellStyleXfs>
  <cellXfs count="35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3" pivotButton="0" quotePrefix="0" xfId="0"/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3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6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7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0" applyAlignment="1" pivotButton="0" quotePrefix="0" xfId="0">
      <alignment horizontal="right" vertical="top"/>
    </xf>
    <xf numFmtId="0" fontId="0" fillId="0" borderId="40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3" fillId="7" borderId="1" applyAlignment="1" pivotButton="0" quotePrefix="0" xfId="0">
      <alignment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6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49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7" borderId="52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5" pivotButton="0" quotePrefix="0" xfId="0"/>
    <xf numFmtId="0" fontId="6" fillId="0" borderId="55" applyAlignment="1" pivotButton="0" quotePrefix="0" xfId="0">
      <alignment horizontal="center"/>
    </xf>
    <xf numFmtId="165" fontId="0" fillId="0" borderId="54" pivotButton="0" quotePrefix="0" xfId="0"/>
    <xf numFmtId="0" fontId="0" fillId="0" borderId="54" applyAlignment="1" pivotButton="0" quotePrefix="0" xfId="0">
      <alignment horizontal="center"/>
    </xf>
    <xf numFmtId="0" fontId="0" fillId="0" borderId="54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5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59" applyAlignment="1" pivotButton="0" quotePrefix="0" xfId="0">
      <alignment horizontal="center"/>
    </xf>
    <xf numFmtId="0" fontId="28" fillId="14" borderId="56" applyAlignment="1" pivotButton="0" quotePrefix="1" xfId="4">
      <alignment horizontal="center"/>
    </xf>
    <xf numFmtId="0" fontId="28" fillId="14" borderId="57" applyAlignment="1" pivotButton="0" quotePrefix="1" xfId="4">
      <alignment horizontal="center"/>
    </xf>
    <xf numFmtId="16" fontId="0" fillId="6" borderId="54" applyAlignment="1" pivotButton="0" quotePrefix="1" xfId="0">
      <alignment horizontal="center"/>
    </xf>
    <xf numFmtId="49" fontId="0" fillId="6" borderId="54" applyAlignment="1" pivotButton="0" quotePrefix="1" xfId="0">
      <alignment horizontal="center"/>
    </xf>
    <xf numFmtId="0" fontId="0" fillId="6" borderId="54" applyAlignment="1" pivotButton="0" quotePrefix="0" xfId="0">
      <alignment horizontal="center"/>
    </xf>
    <xf numFmtId="0" fontId="0" fillId="6" borderId="54" applyAlignment="1" pivotButton="0" quotePrefix="1" xfId="0">
      <alignment horizontal="center"/>
    </xf>
    <xf numFmtId="0" fontId="28" fillId="14" borderId="60" applyAlignment="1" pivotButton="0" quotePrefix="1" xfId="4">
      <alignment horizontal="center"/>
    </xf>
    <xf numFmtId="0" fontId="28" fillId="14" borderId="58" applyAlignment="1" pivotButton="0" quotePrefix="1" xfId="4">
      <alignment horizontal="center"/>
    </xf>
    <xf numFmtId="0" fontId="0" fillId="0" borderId="59" applyAlignment="1" pivotButton="0" quotePrefix="1" xfId="0">
      <alignment horizontal="center"/>
    </xf>
    <xf numFmtId="165" fontId="0" fillId="0" borderId="59" pivotButton="0" quotePrefix="0" xfId="0"/>
    <xf numFmtId="0" fontId="29" fillId="15" borderId="0" pivotButton="0" quotePrefix="0" xfId="5"/>
    <xf numFmtId="14" fontId="16" fillId="7" borderId="49" applyAlignment="1" pivotButton="0" quotePrefix="0" xfId="0">
      <alignment vertical="center"/>
    </xf>
    <xf numFmtId="0" fontId="0" fillId="7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1" applyAlignment="1" pivotButton="0" quotePrefix="0" xfId="0">
      <alignment horizontal="center" vertical="center"/>
    </xf>
    <xf numFmtId="0" fontId="30" fillId="5" borderId="23" applyAlignment="1" pivotButton="0" quotePrefix="0" xfId="0">
      <alignment vertical="center" wrapText="1"/>
    </xf>
    <xf numFmtId="0" fontId="31" fillId="6" borderId="23" applyAlignment="1" pivotButton="0" quotePrefix="0" xfId="0">
      <alignment horizontal="right" vertical="top"/>
    </xf>
    <xf numFmtId="0" fontId="31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0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5" fillId="0" borderId="0" applyAlignment="1" pivotButton="0" quotePrefix="0" xfId="0">
      <alignment horizontal="left" vertical="center" wrapText="1"/>
    </xf>
    <xf numFmtId="0" fontId="36" fillId="0" borderId="2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6" fillId="0" borderId="1" applyAlignment="1" pivotButton="0" quotePrefix="0" xfId="0">
      <alignment horizontal="center" vertical="center"/>
    </xf>
    <xf numFmtId="0" fontId="36" fillId="7" borderId="1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6" fillId="7" borderId="0" applyAlignment="1" pivotButton="0" quotePrefix="1" xfId="0">
      <alignment horizontal="center" vertical="center"/>
    </xf>
    <xf numFmtId="0" fontId="36" fillId="7" borderId="0" applyAlignment="1" pivotButton="0" quotePrefix="0" xfId="0">
      <alignment horizontal="right" vertical="center"/>
    </xf>
    <xf numFmtId="0" fontId="36" fillId="7" borderId="1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36" fillId="0" borderId="0" applyAlignment="1" pivotButton="0" quotePrefix="1" xfId="0">
      <alignment horizontal="center" vertical="center"/>
    </xf>
    <xf numFmtId="0" fontId="36" fillId="0" borderId="1" applyAlignment="1" pivotButton="0" quotePrefix="0" xfId="0">
      <alignment vertical="center"/>
    </xf>
    <xf numFmtId="16" fontId="36" fillId="0" borderId="0" applyAlignment="1" pivotButton="0" quotePrefix="1" xfId="0">
      <alignment horizontal="center" vertical="center"/>
    </xf>
    <xf numFmtId="0" fontId="36" fillId="0" borderId="0" applyAlignment="1" pivotButton="0" quotePrefix="0" xfId="0">
      <alignment horizontal="right" vertical="center" wrapText="1"/>
    </xf>
    <xf numFmtId="0" fontId="36" fillId="0" borderId="0" applyAlignment="1" pivotButton="0" quotePrefix="0" xfId="0">
      <alignment horizontal="center" vertical="center" wrapText="1"/>
    </xf>
    <xf numFmtId="0" fontId="36" fillId="7" borderId="0" applyAlignment="1" pivotButton="0" quotePrefix="0" xfId="0">
      <alignment horizontal="right" vertical="center" wrapText="1"/>
    </xf>
    <xf numFmtId="0" fontId="36" fillId="7" borderId="0" applyAlignment="1" pivotButton="0" quotePrefix="0" xfId="0">
      <alignment horizontal="center" vertical="center" wrapText="1"/>
    </xf>
    <xf numFmtId="0" fontId="36" fillId="7" borderId="0" applyAlignment="1" pivotButton="0" quotePrefix="1" xfId="0">
      <alignment horizontal="left" vertical="center"/>
    </xf>
    <xf numFmtId="0" fontId="36" fillId="0" borderId="0" applyAlignment="1" pivotButton="0" quotePrefix="0" xfId="0">
      <alignment vertical="center" wrapText="1"/>
    </xf>
    <xf numFmtId="49" fontId="36" fillId="7" borderId="0" applyAlignment="1" pivotButton="0" quotePrefix="0" xfId="0">
      <alignment horizontal="center" vertical="center"/>
    </xf>
    <xf numFmtId="49" fontId="36" fillId="0" borderId="0" applyAlignment="1" pivotButton="0" quotePrefix="0" xfId="0">
      <alignment horizontal="center" vertical="center"/>
    </xf>
    <xf numFmtId="0" fontId="0" fillId="7" borderId="51" applyAlignment="1" pivotButton="0" quotePrefix="0" xfId="0">
      <alignment horizontal="center" vertical="center" wrapText="1"/>
    </xf>
    <xf numFmtId="0" fontId="25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0" fontId="36" fillId="0" borderId="12" applyAlignment="1" pivotButton="0" quotePrefix="0" xfId="0">
      <alignment vertical="center"/>
    </xf>
    <xf numFmtId="0" fontId="38" fillId="7" borderId="1" applyAlignment="1" pivotButton="0" quotePrefix="0" xfId="0">
      <alignment vertical="center" wrapText="1"/>
    </xf>
    <xf numFmtId="0" fontId="36" fillId="0" borderId="0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38" fillId="0" borderId="1" applyAlignment="1" pivotButton="0" quotePrefix="0" xfId="0">
      <alignment vertical="center" wrapText="1"/>
    </xf>
    <xf numFmtId="9" fontId="35" fillId="7" borderId="0" applyAlignment="1" pivotButton="0" quotePrefix="1" xfId="0">
      <alignment vertical="center"/>
    </xf>
    <xf numFmtId="0" fontId="39" fillId="0" borderId="1" applyAlignment="1" pivotButton="0" quotePrefix="0" xfId="3">
      <alignment vertical="center"/>
    </xf>
    <xf numFmtId="0" fontId="39" fillId="7" borderId="1" applyAlignment="1" pivotButton="0" quotePrefix="0" xfId="3">
      <alignment vertical="center"/>
    </xf>
    <xf numFmtId="0" fontId="8" fillId="7" borderId="0" applyAlignment="1" pivotButton="0" quotePrefix="0" xfId="0">
      <alignment horizontal="right" vertical="center" wrapText="1"/>
    </xf>
    <xf numFmtId="0" fontId="9" fillId="0" borderId="16" applyAlignment="1" pivotButton="0" quotePrefix="0" xfId="0">
      <alignment horizontal="right" vertical="center"/>
    </xf>
    <xf numFmtId="0" fontId="9" fillId="0" borderId="35" applyAlignment="1" pivotButton="0" quotePrefix="1" xfId="0">
      <alignment horizontal="center" vertical="center"/>
    </xf>
    <xf numFmtId="0" fontId="40" fillId="0" borderId="35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41" fillId="0" borderId="1" applyAlignment="1" pivotButton="0" quotePrefix="0" xfId="3">
      <alignment vertical="center"/>
    </xf>
    <xf numFmtId="9" fontId="24" fillId="0" borderId="0" applyAlignment="1" pivotButton="0" quotePrefix="1" xfId="0">
      <alignment vertical="center"/>
    </xf>
    <xf numFmtId="0" fontId="41" fillId="7" borderId="1" applyAlignment="1" pivotButton="0" quotePrefix="0" xfId="3">
      <alignment vertical="center"/>
    </xf>
    <xf numFmtId="0" fontId="23" fillId="0" borderId="1" applyAlignment="1" pivotButton="0" quotePrefix="0" xfId="0">
      <alignment vertical="center" wrapText="1"/>
    </xf>
    <xf numFmtId="0" fontId="24" fillId="0" borderId="0" applyAlignment="1" pivotButton="0" quotePrefix="1" xfId="0">
      <alignment horizontal="center" vertical="center"/>
    </xf>
    <xf numFmtId="0" fontId="23" fillId="7" borderId="1" applyAlignment="1" pivotButton="0" quotePrefix="0" xfId="0">
      <alignment vertical="center" wrapText="1"/>
    </xf>
    <xf numFmtId="0" fontId="24" fillId="7" borderId="0" applyAlignment="1" pivotButton="0" quotePrefix="0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23" fillId="0" borderId="1" applyAlignment="1" pivotButton="0" quotePrefix="0" xfId="0">
      <alignment vertic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23" fillId="7" borderId="1" applyAlignment="1" pivotButton="0" quotePrefix="0" xfId="3">
      <alignment vertical="center"/>
    </xf>
    <xf numFmtId="0" fontId="44" fillId="16" borderId="0" applyAlignment="1" pivotButton="0" quotePrefix="0" xfId="0">
      <alignment horizontal="left" vertical="center"/>
    </xf>
    <xf numFmtId="0" fontId="44" fillId="16" borderId="0" applyAlignment="1" pivotButton="0" quotePrefix="0" xfId="0">
      <alignment horizontal="right" vertical="center"/>
    </xf>
    <xf numFmtId="0" fontId="45" fillId="1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18" borderId="50" applyAlignment="1" pivotButton="0" quotePrefix="0" xfId="0">
      <alignment horizontal="center" vertical="center" wrapText="1"/>
    </xf>
    <xf numFmtId="0" fontId="0" fillId="18" borderId="5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19" borderId="50" applyAlignment="1" pivotButton="0" quotePrefix="0" xfId="0">
      <alignment horizontal="center" vertical="center"/>
    </xf>
    <xf numFmtId="0" fontId="0" fillId="20" borderId="51" applyAlignment="1" pivotButton="0" quotePrefix="0" xfId="0">
      <alignment horizontal="center" vertical="center" wrapText="1"/>
    </xf>
    <xf numFmtId="0" fontId="0" fillId="18" borderId="52" applyAlignment="1" pivotButton="0" quotePrefix="0" xfId="0">
      <alignment horizontal="center" vertical="center" wrapText="1"/>
    </xf>
    <xf numFmtId="0" fontId="35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9" fontId="35" fillId="7" borderId="0" applyAlignment="1" pivotButton="0" quotePrefix="1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65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8" applyAlignment="1" pivotButton="0" quotePrefix="0" xfId="0">
      <alignment horizontal="center" wrapText="1"/>
    </xf>
    <xf numFmtId="164" fontId="10" fillId="0" borderId="41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2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3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7" fillId="0" borderId="0" applyAlignment="1" pivotButton="0" quotePrefix="0" xfId="0">
      <alignment horizontal="center" wrapText="1"/>
    </xf>
    <xf numFmtId="0" fontId="26" fillId="10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43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51"/>
  <sheetViews>
    <sheetView tabSelected="1" topLeftCell="H1" workbookViewId="0">
      <selection activeCell="O1" sqref="O1:V1048576"/>
    </sheetView>
  </sheetViews>
  <sheetFormatPr baseColWidth="8" defaultRowHeight="15"/>
  <cols>
    <col hidden="1" width="38.42578125" customWidth="1" min="1" max="1"/>
    <col hidden="1" width="8.7109375" customWidth="1" min="2" max="2"/>
    <col hidden="1" width="9" customWidth="1" min="3" max="3"/>
    <col hidden="1" width="14.85546875" customWidth="1" min="4" max="4"/>
    <col hidden="1" width="57.5703125" customWidth="1" min="5" max="5"/>
    <col hidden="1" min="6" max="6"/>
    <col hidden="1" width="11.42578125" customWidth="1" min="7" max="7"/>
    <col width="9.140625" customWidth="1" min="8" max="8"/>
    <col width="47.5703125" customWidth="1" min="9" max="9"/>
    <col width="18.7109375" customWidth="1" min="10" max="10"/>
    <col width="9.140625" customWidth="1" min="11" max="12"/>
    <col width="12.42578125" customWidth="1" min="13" max="13"/>
    <col width="23.28515625" customWidth="1" min="14" max="14"/>
    <col hidden="1" min="15" max="15"/>
    <col hidden="1" width="42.85546875" customWidth="1" min="16" max="16"/>
    <col hidden="1" min="17" max="17"/>
    <col hidden="1" width="9.5703125" customWidth="1" min="18" max="18"/>
    <col hidden="1" width="38.5703125" customWidth="1" min="19" max="19"/>
    <col hidden="1" width="71.7109375" customWidth="1" min="20" max="20"/>
    <col hidden="1" min="21" max="21"/>
    <col hidden="1" width="12" customWidth="1" min="22" max="22"/>
  </cols>
  <sheetData>
    <row r="1">
      <c r="A1" s="257" t="inlineStr">
        <is>
          <t>Potenziamento 1</t>
        </is>
      </c>
      <c r="B1" s="258" t="n"/>
      <c r="C1" s="258" t="n"/>
      <c r="D1" s="258" t="n"/>
      <c r="E1" s="258" t="n"/>
      <c r="F1" s="258" t="n"/>
      <c r="G1" s="257" t="n"/>
      <c r="H1" s="259" t="n"/>
      <c r="I1" s="257" t="inlineStr">
        <is>
          <t>Sospensioni Forza</t>
        </is>
      </c>
      <c r="J1" s="258" t="inlineStr">
        <is>
          <t>durata rep</t>
        </is>
      </c>
      <c r="K1" s="258" t="inlineStr">
        <is>
          <t>reps</t>
        </is>
      </c>
      <c r="L1" s="258" t="inlineStr">
        <is>
          <t>serie</t>
        </is>
      </c>
      <c r="M1" s="258" t="inlineStr">
        <is>
          <t>sovraccarico</t>
        </is>
      </c>
      <c r="N1" s="257" t="n"/>
      <c r="O1" s="259" t="n"/>
      <c r="P1" s="257" t="inlineStr">
        <is>
          <t>Potenziamento 2</t>
        </is>
      </c>
      <c r="Q1" s="258" t="n"/>
      <c r="R1" s="258" t="n"/>
      <c r="S1" s="258" t="n"/>
      <c r="T1" s="258" t="n"/>
      <c r="U1" s="258" t="n"/>
      <c r="V1" s="258" t="n"/>
    </row>
    <row r="2">
      <c r="A2" t="inlineStr">
        <is>
          <t>Trazioni assistite MONOBRACCIO J.S.</t>
        </is>
      </c>
      <c r="B2" s="260" t="inlineStr">
        <is>
          <t>6/6/6/6</t>
        </is>
      </c>
      <c r="C2" s="260" t="n"/>
      <c r="D2" s="260" t="inlineStr">
        <is>
          <t>RPE7</t>
        </is>
      </c>
      <c r="E2" s="260" t="inlineStr">
        <is>
          <t>Scarica</t>
        </is>
      </c>
      <c r="F2" s="260" t="inlineStr">
        <is>
          <t>1'</t>
        </is>
      </c>
      <c r="G2" t="inlineStr">
        <is>
          <t>6;6;6</t>
        </is>
      </c>
      <c r="H2" s="259" t="n"/>
      <c r="I2" t="inlineStr">
        <is>
          <t>Stacchi da terra 20mm</t>
        </is>
      </c>
      <c r="J2" s="260" t="inlineStr">
        <is>
          <t>X</t>
        </is>
      </c>
      <c r="K2" s="260" t="n">
        <v>3</v>
      </c>
      <c r="L2" s="260" t="n">
        <v>3</v>
      </c>
      <c r="M2" s="260" t="inlineStr">
        <is>
          <t>38-41kg</t>
        </is>
      </c>
      <c r="N2" t="inlineStr">
        <is>
          <t>3;3;3</t>
        </is>
      </c>
      <c r="O2" s="259" t="n"/>
      <c r="P2" t="inlineStr">
        <is>
          <t>Trazioni assistite MONOBRACCIO fino a 90° J.S.</t>
        </is>
      </c>
      <c r="Q2" s="263" t="n">
        <v>4</v>
      </c>
      <c r="R2" s="263" t="n">
        <v>5</v>
      </c>
      <c r="S2" s="263" t="inlineStr">
        <is>
          <t>RPE7: -37kg</t>
        </is>
      </c>
      <c r="T2" s="263" t="inlineStr">
        <is>
          <t>Scarico</t>
        </is>
      </c>
      <c r="U2" s="263" t="inlineStr">
        <is>
          <t>1'</t>
        </is>
      </c>
      <c r="V2" s="263" t="inlineStr">
        <is>
          <t>5;5;5</t>
        </is>
      </c>
    </row>
    <row r="3">
      <c r="A3" t="inlineStr">
        <is>
          <t>Reverse plank monopodalica</t>
        </is>
      </c>
      <c r="B3" s="260" t="n">
        <v>3</v>
      </c>
      <c r="C3" s="260" t="inlineStr">
        <is>
          <t>3x5"</t>
        </is>
      </c>
      <c r="D3" s="260" t="n"/>
      <c r="E3" s="260" t="inlineStr">
        <is>
          <t>Alterna i lati</t>
        </is>
      </c>
      <c r="F3" s="260" t="inlineStr">
        <is>
          <t>45"</t>
        </is>
      </c>
      <c r="G3" t="inlineStr">
        <is>
          <t>3;3;3</t>
        </is>
      </c>
      <c r="H3" s="259" t="n"/>
      <c r="I3" t="inlineStr">
        <is>
          <t>Sospensioni svase</t>
        </is>
      </c>
      <c r="J3" s="260" t="n">
        <v>10</v>
      </c>
      <c r="K3" s="260" t="n">
        <v>2</v>
      </c>
      <c r="L3" s="260" t="n">
        <v>3</v>
      </c>
      <c r="M3" s="260" t="inlineStr">
        <is>
          <t>RPE7: 30kg</t>
        </is>
      </c>
      <c r="N3" t="inlineStr">
        <is>
          <t>2;2;2</t>
        </is>
      </c>
      <c r="O3" s="259" t="n"/>
      <c r="P3" t="inlineStr">
        <is>
          <t>Isometrie femorali su panca alternati</t>
        </is>
      </c>
      <c r="Q3" s="263" t="n">
        <v>3</v>
      </c>
      <c r="R3" s="263" t="inlineStr">
        <is>
          <t>3x5"</t>
        </is>
      </c>
      <c r="S3" s="263" t="n"/>
      <c r="T3" s="263" t="inlineStr">
        <is>
          <t>Alterna i lati - All out attivo in tirata</t>
        </is>
      </c>
      <c r="U3" s="263" t="inlineStr">
        <is>
          <t>45"</t>
        </is>
      </c>
      <c r="V3" s="263" t="inlineStr">
        <is>
          <t>3;3;3</t>
        </is>
      </c>
    </row>
    <row r="4">
      <c r="A4" t="inlineStr">
        <is>
          <t>Isometria in trazione monobraccio 120° J.S.</t>
        </is>
      </c>
      <c r="B4" s="260" t="n">
        <v>3</v>
      </c>
      <c r="C4" s="260" t="inlineStr">
        <is>
          <t>10"x2</t>
        </is>
      </c>
      <c r="D4" s="260" t="inlineStr">
        <is>
          <t>RPE6</t>
        </is>
      </c>
      <c r="E4" s="260" t="inlineStr">
        <is>
          <t>Scarica</t>
        </is>
      </c>
      <c r="F4" s="260" t="inlineStr">
        <is>
          <t>\</t>
        </is>
      </c>
      <c r="G4" t="inlineStr">
        <is>
          <t>2;2;2</t>
        </is>
      </c>
      <c r="H4" s="259" t="n"/>
      <c r="I4" t="inlineStr">
        <is>
          <t>Stacchi pinze</t>
        </is>
      </c>
      <c r="J4" s="260" t="n">
        <v>15</v>
      </c>
      <c r="K4" s="260" t="n">
        <v>2</v>
      </c>
      <c r="L4" s="260" t="n">
        <v>3</v>
      </c>
      <c r="M4" s="260" t="inlineStr">
        <is>
          <t>20kg pp</t>
        </is>
      </c>
      <c r="N4" t="inlineStr">
        <is>
          <t>2;2;2</t>
        </is>
      </c>
      <c r="O4" s="259" t="n"/>
      <c r="P4" t="inlineStr">
        <is>
          <t>Isometria in trazione monobraccio 90° J.S.</t>
        </is>
      </c>
      <c r="Q4" s="263" t="n">
        <v>3</v>
      </c>
      <c r="R4" s="263" t="inlineStr">
        <is>
          <t>5"x4</t>
        </is>
      </c>
      <c r="S4" s="263" t="inlineStr">
        <is>
          <t>RPE6</t>
        </is>
      </c>
      <c r="T4" s="263" t="inlineStr">
        <is>
          <t>Scarico</t>
        </is>
      </c>
      <c r="U4" s="263" t="inlineStr">
        <is>
          <t>45"</t>
        </is>
      </c>
      <c r="V4" s="263" t="inlineStr">
        <is>
          <t>4;4;4</t>
        </is>
      </c>
    </row>
    <row r="5">
      <c r="A5" t="inlineStr">
        <is>
          <t>Isometrie femorali su panca alternati</t>
        </is>
      </c>
      <c r="B5" s="260" t="n">
        <v>3</v>
      </c>
      <c r="C5" s="260" t="inlineStr">
        <is>
          <t>20"</t>
        </is>
      </c>
      <c r="D5" s="260" t="n"/>
      <c r="E5" s="260" t="n"/>
      <c r="F5" s="260" t="inlineStr">
        <is>
          <t>45"</t>
        </is>
      </c>
      <c r="G5" t="inlineStr">
        <is>
          <t>20'';20'';</t>
        </is>
      </c>
      <c r="H5" s="259" t="n"/>
      <c r="I5" t="inlineStr">
        <is>
          <t>Sospensioni micros</t>
        </is>
      </c>
      <c r="J5" s="260" t="n">
        <v>7</v>
      </c>
      <c r="K5" s="260" t="n">
        <v>3</v>
      </c>
      <c r="L5" s="260" t="n">
        <v>2</v>
      </c>
      <c r="M5" s="260" t="inlineStr">
        <is>
          <t>BW</t>
        </is>
      </c>
      <c r="N5" t="inlineStr">
        <is>
          <t>3;3;3</t>
        </is>
      </c>
      <c r="O5" s="259" t="n"/>
      <c r="P5" t="inlineStr">
        <is>
          <t>Reverse plank</t>
        </is>
      </c>
      <c r="Q5" s="263" t="n">
        <v>3</v>
      </c>
      <c r="R5" s="263" t="inlineStr">
        <is>
          <t>15"</t>
        </is>
      </c>
      <c r="S5" s="263" t="n"/>
      <c r="T5" s="263" t="n"/>
      <c r="U5" s="263" t="inlineStr">
        <is>
          <t>45"</t>
        </is>
      </c>
      <c r="V5" s="263" t="inlineStr">
        <is>
          <t>15'';15'';</t>
        </is>
      </c>
    </row>
    <row r="6">
      <c r="A6" t="inlineStr">
        <is>
          <t>Rematore manubrio in app. deadstop J.S.</t>
        </is>
      </c>
      <c r="B6" s="260" t="n">
        <v>3</v>
      </c>
      <c r="C6" s="260" t="n">
        <v>8</v>
      </c>
      <c r="D6" s="260" t="inlineStr">
        <is>
          <t>RPE7.5</t>
        </is>
      </c>
      <c r="E6" s="260" t="n"/>
      <c r="F6" s="260" t="inlineStr">
        <is>
          <t>1'30''</t>
        </is>
      </c>
      <c r="G6" t="inlineStr">
        <is>
          <t>8;8;8</t>
        </is>
      </c>
      <c r="H6" s="259" t="n"/>
      <c r="I6" t="inlineStr">
        <is>
          <t>Sospensioni due mani 20mm</t>
        </is>
      </c>
      <c r="J6" s="260" t="inlineStr">
        <is>
          <t>AMRAP</t>
        </is>
      </c>
      <c r="K6" s="260" t="n">
        <v>1</v>
      </c>
      <c r="L6" s="260" t="n">
        <v>1</v>
      </c>
      <c r="M6" s="260" t="inlineStr">
        <is>
          <t>25kg</t>
        </is>
      </c>
      <c r="N6" t="inlineStr">
        <is>
          <t>non fatti</t>
        </is>
      </c>
      <c r="O6" s="259" t="n"/>
      <c r="P6" t="inlineStr">
        <is>
          <t>Reclutamenti scapolari monobraccio assistiti J.S.</t>
        </is>
      </c>
      <c r="Q6" s="263" t="n">
        <v>3</v>
      </c>
      <c r="R6" s="263" t="inlineStr">
        <is>
          <t>RPE7: 4</t>
        </is>
      </c>
      <c r="S6" s="263" t="inlineStr">
        <is>
          <t>-42kg</t>
        </is>
      </c>
      <c r="T6" s="263" t="inlineStr">
        <is>
          <t>2"iso in cima</t>
        </is>
      </c>
      <c r="U6" s="263" t="inlineStr">
        <is>
          <t>1'15"</t>
        </is>
      </c>
      <c r="V6" s="263" t="inlineStr">
        <is>
          <t>4;4;4</t>
        </is>
      </c>
    </row>
    <row r="7">
      <c r="A7" t="inlineStr">
        <is>
          <t>Panca piana manubri (manubrio singolo)</t>
        </is>
      </c>
      <c r="B7" s="260" t="n">
        <v>3</v>
      </c>
      <c r="C7" s="260" t="inlineStr">
        <is>
          <t>5-9</t>
        </is>
      </c>
      <c r="D7" s="260" t="n"/>
      <c r="E7" s="260" t="inlineStr">
        <is>
          <t>Aumenta carico quando riesci a completare tutte le serie a 9 reps</t>
        </is>
      </c>
      <c r="F7" s="260" t="inlineStr">
        <is>
          <t>1'30"</t>
        </is>
      </c>
      <c r="G7" t="inlineStr">
        <is>
          <t>9;9;9</t>
        </is>
      </c>
      <c r="H7" s="259" t="n"/>
      <c r="O7" s="259" t="n"/>
      <c r="P7" t="inlineStr">
        <is>
          <t>Trazioni stato dinamico 120°</t>
        </is>
      </c>
      <c r="Q7" s="263" t="n">
        <v>3</v>
      </c>
      <c r="R7" s="263" t="inlineStr">
        <is>
          <t>RPE8: 6</t>
        </is>
      </c>
      <c r="S7" s="263" t="inlineStr">
        <is>
          <t>BW</t>
        </is>
      </c>
      <c r="T7" s="263" t="inlineStr">
        <is>
          <t>Chiudo fino a 120° - faccio 2" di pausa - riparto esplosivo fino a chiusura completa</t>
        </is>
      </c>
      <c r="U7" s="263" t="inlineStr">
        <is>
          <t>1'15"</t>
        </is>
      </c>
      <c r="V7" s="263" t="inlineStr">
        <is>
          <t>6;6;6</t>
        </is>
      </c>
    </row>
    <row r="8">
      <c r="A8" t="inlineStr">
        <is>
          <t>ISOMETRIA Curl manubri gomito 120° J.S.</t>
        </is>
      </c>
      <c r="B8" s="260" t="n">
        <v>3</v>
      </c>
      <c r="C8" s="260" t="inlineStr">
        <is>
          <t>20"</t>
        </is>
      </c>
      <c r="D8" s="260" t="n"/>
      <c r="E8" s="260" t="n"/>
      <c r="F8" s="260" t="inlineStr">
        <is>
          <t>1'</t>
        </is>
      </c>
      <c r="G8" t="inlineStr">
        <is>
          <t>20'';20'';20''</t>
        </is>
      </c>
      <c r="H8" s="259" t="n"/>
      <c r="O8" s="259" t="n"/>
      <c r="P8" t="inlineStr">
        <is>
          <t>Lateral leg raises gambe piegate J.S.</t>
        </is>
      </c>
      <c r="Q8" s="263" t="inlineStr">
        <is>
          <t>4\4\4\4</t>
        </is>
      </c>
      <c r="R8" s="263" t="n"/>
      <c r="S8" s="263" t="inlineStr">
        <is>
          <t>RPE7.5</t>
        </is>
      </c>
      <c r="T8" s="263" t="inlineStr">
        <is>
          <t>Per lato - Regolo isometria per raggiungere RPE</t>
        </is>
      </c>
      <c r="U8" s="263" t="inlineStr">
        <is>
          <t>1'30''</t>
        </is>
      </c>
      <c r="V8" s="263" t="inlineStr">
        <is>
          <t>8;7;7;6,5</t>
        </is>
      </c>
    </row>
    <row r="9">
      <c r="A9" t="inlineStr">
        <is>
          <t>Alzate laterali busto 90° su panca 30°</t>
        </is>
      </c>
      <c r="B9" s="260" t="n">
        <v>3</v>
      </c>
      <c r="C9" s="260" t="n">
        <v>8</v>
      </c>
      <c r="D9" s="260" t="inlineStr">
        <is>
          <t>RPE7</t>
        </is>
      </c>
      <c r="E9" s="260" t="n"/>
      <c r="F9" s="260" t="inlineStr">
        <is>
          <t>1'</t>
        </is>
      </c>
      <c r="G9" t="inlineStr">
        <is>
          <t>8;8;8</t>
        </is>
      </c>
      <c r="H9" s="259" t="n"/>
      <c r="O9" s="259" t="n"/>
      <c r="P9" t="inlineStr">
        <is>
          <t>Rematore TRX mono braccio</t>
        </is>
      </c>
      <c r="Q9" s="263" t="n">
        <v>3</v>
      </c>
      <c r="R9" s="263" t="n">
        <v>6</v>
      </c>
      <c r="S9" s="263" t="inlineStr">
        <is>
          <t>RPE7</t>
        </is>
      </c>
      <c r="T9" s="263" t="inlineStr">
        <is>
          <t>Regola inclinazione per raggiungere RPE</t>
        </is>
      </c>
      <c r="U9" s="263" t="inlineStr">
        <is>
          <t>1'15"</t>
        </is>
      </c>
      <c r="V9" s="263" t="inlineStr">
        <is>
          <t>6;6;6</t>
        </is>
      </c>
    </row>
    <row r="10">
      <c r="A10" t="inlineStr">
        <is>
          <t>Curl manubri J.S.</t>
        </is>
      </c>
      <c r="B10" s="260" t="inlineStr">
        <is>
          <t>6/6/8/10</t>
        </is>
      </c>
      <c r="C10" s="260" t="n"/>
      <c r="D10" s="260" t="n"/>
      <c r="E10" s="260" t="inlineStr">
        <is>
          <t>Aumenta nella settimana successiva il carico nelle serie più facili</t>
        </is>
      </c>
      <c r="F10" s="260" t="inlineStr">
        <is>
          <t>1'15"</t>
        </is>
      </c>
      <c r="G10" t="inlineStr">
        <is>
          <t>6;6;</t>
        </is>
      </c>
      <c r="H10" s="259" t="n"/>
      <c r="O10" s="259" t="n"/>
      <c r="P10" t="inlineStr">
        <is>
          <t>Curl manubri a martello alternato</t>
        </is>
      </c>
      <c r="Q10" s="263" t="n">
        <v>3</v>
      </c>
      <c r="R10" s="263" t="n">
        <v>5</v>
      </c>
      <c r="S10" s="263" t="inlineStr">
        <is>
          <t>RPE7,5</t>
        </is>
      </c>
      <c r="T10" s="263" t="n"/>
      <c r="U10" s="263" t="inlineStr">
        <is>
          <t>1'15"</t>
        </is>
      </c>
      <c r="V10" s="263" t="inlineStr">
        <is>
          <t>5;5;5</t>
        </is>
      </c>
    </row>
    <row r="11">
      <c r="A11" t="inlineStr">
        <is>
          <t>Vertical leg raises gambe tese</t>
        </is>
      </c>
      <c r="B11" s="260" t="n">
        <v>3</v>
      </c>
      <c r="C11" s="260" t="inlineStr">
        <is>
          <t>RPE7,5</t>
        </is>
      </c>
      <c r="D11" s="260" t="n"/>
      <c r="E11" s="260" t="inlineStr">
        <is>
          <t>1"iso</t>
        </is>
      </c>
      <c r="F11" s="260" t="inlineStr">
        <is>
          <t>1'15"</t>
        </is>
      </c>
      <c r="G11" t="inlineStr">
        <is>
          <t>8;8;</t>
        </is>
      </c>
      <c r="H11" s="259" t="n"/>
      <c r="O11" s="259" t="n"/>
      <c r="P11" t="inlineStr">
        <is>
          <t>Piegamenti monobraccio isometrici</t>
        </is>
      </c>
      <c r="Q11" s="263" t="n">
        <v>3</v>
      </c>
      <c r="R11" s="263" t="inlineStr">
        <is>
          <t>20"</t>
        </is>
      </c>
      <c r="S11" s="263" t="inlineStr">
        <is>
          <t>RPE9</t>
        </is>
      </c>
      <c r="T11" s="263" t="inlineStr">
        <is>
          <t>Regola profondità per arrivare ad RPE</t>
        </is>
      </c>
      <c r="U11" s="263" t="inlineStr">
        <is>
          <t>1'</t>
        </is>
      </c>
      <c r="V11" s="263" t="inlineStr">
        <is>
          <t>20'';20'';</t>
        </is>
      </c>
    </row>
    <row r="12">
      <c r="A12" s="257" t="inlineStr">
        <is>
          <t>Potenziamento 1</t>
        </is>
      </c>
      <c r="B12" s="258" t="n"/>
      <c r="C12" s="258" t="n"/>
      <c r="D12" s="258" t="n"/>
      <c r="E12" s="258" t="n"/>
      <c r="F12" s="258" t="n"/>
      <c r="G12" s="257" t="n"/>
      <c r="H12" s="259" t="n"/>
      <c r="I12" s="257" t="inlineStr">
        <is>
          <t>Sospensioni Forza</t>
        </is>
      </c>
      <c r="J12" s="258" t="n"/>
      <c r="K12" s="258" t="n"/>
      <c r="L12" s="258" t="n"/>
      <c r="M12" s="258" t="n"/>
      <c r="N12" s="257" t="n"/>
      <c r="O12" s="259" t="n"/>
      <c r="P12" s="257" t="inlineStr">
        <is>
          <t>Potenziamento 2</t>
        </is>
      </c>
      <c r="Q12" s="257" t="n"/>
      <c r="R12" s="257" t="n"/>
      <c r="S12" s="257" t="n"/>
      <c r="T12" s="257" t="n"/>
      <c r="U12" s="257" t="n"/>
      <c r="V12" s="257" t="n"/>
    </row>
    <row r="13">
      <c r="A13" t="inlineStr">
        <is>
          <t>Trazioni assistite MONOBRACCIO J.S.</t>
        </is>
      </c>
      <c r="B13" s="260" t="inlineStr">
        <is>
          <t>7/7/6/6</t>
        </is>
      </c>
      <c r="C13" s="260" t="n"/>
      <c r="D13" s="260" t="inlineStr">
        <is>
          <t>Wk9</t>
        </is>
      </c>
      <c r="E13" s="260" t="inlineStr">
        <is>
          <t>Scarica</t>
        </is>
      </c>
      <c r="F13" s="260" t="inlineStr">
        <is>
          <t>2'</t>
        </is>
      </c>
      <c r="G13" t="inlineStr">
        <is>
          <t>non fatti</t>
        </is>
      </c>
      <c r="H13" s="259" t="n"/>
      <c r="I13" t="inlineStr">
        <is>
          <t>Stacchi da terra 20mm</t>
        </is>
      </c>
      <c r="J13" s="260" t="inlineStr">
        <is>
          <t>X</t>
        </is>
      </c>
      <c r="K13" s="260" t="n">
        <v>3</v>
      </c>
      <c r="L13" s="260" t="n">
        <v>3</v>
      </c>
      <c r="M13" s="260" t="inlineStr">
        <is>
          <t>42kg</t>
        </is>
      </c>
      <c r="N13" t="inlineStr">
        <is>
          <t>3;3;3</t>
        </is>
      </c>
      <c r="O13" s="259" t="n"/>
      <c r="P13" t="inlineStr">
        <is>
          <t>Trazioni assistite MONOBRACCIO fino a 90° J.S.</t>
        </is>
      </c>
      <c r="Q13" s="263" t="n">
        <v>4</v>
      </c>
      <c r="R13" s="263" t="n">
        <v>5</v>
      </c>
      <c r="S13" s="263" t="inlineStr">
        <is>
          <t>RPE8: -35kg</t>
        </is>
      </c>
      <c r="T13" s="263" t="inlineStr">
        <is>
          <t>Scarico</t>
        </is>
      </c>
      <c r="U13" s="263" t="inlineStr">
        <is>
          <t>1'</t>
        </is>
      </c>
      <c r="V13" s="263" t="inlineStr">
        <is>
          <t>5;5;5;5</t>
        </is>
      </c>
    </row>
    <row r="14">
      <c r="A14" t="inlineStr">
        <is>
          <t>Reverse plank monopodalica</t>
        </is>
      </c>
      <c r="B14" s="260" t="n">
        <v>3</v>
      </c>
      <c r="C14" s="260" t="inlineStr">
        <is>
          <t>3x6"</t>
        </is>
      </c>
      <c r="D14" s="260" t="n"/>
      <c r="E14" s="260" t="inlineStr">
        <is>
          <t>Alterna i lati</t>
        </is>
      </c>
      <c r="F14" s="260" t="inlineStr">
        <is>
          <t>45"</t>
        </is>
      </c>
      <c r="G14" t="inlineStr">
        <is>
          <t>non fatti</t>
        </is>
      </c>
      <c r="H14" s="259" t="n"/>
      <c r="I14" t="inlineStr">
        <is>
          <t>Sospensioni svase</t>
        </is>
      </c>
      <c r="J14" s="260" t="inlineStr">
        <is>
          <t>10''</t>
        </is>
      </c>
      <c r="K14" s="260" t="n">
        <v>2</v>
      </c>
      <c r="L14" s="260" t="n">
        <v>3</v>
      </c>
      <c r="M14" s="260" t="inlineStr">
        <is>
          <t>RPE8: 26,5kg</t>
        </is>
      </c>
      <c r="N14" t="inlineStr">
        <is>
          <t>2;2;2</t>
        </is>
      </c>
      <c r="O14" s="259" t="n"/>
      <c r="P14" t="inlineStr">
        <is>
          <t>Isometrie femorali su panca alternati</t>
        </is>
      </c>
      <c r="Q14" s="263" t="n">
        <v>3</v>
      </c>
      <c r="R14" s="263" t="inlineStr">
        <is>
          <t>3x6"</t>
        </is>
      </c>
      <c r="S14" s="263" t="n"/>
      <c r="T14" s="263" t="inlineStr">
        <is>
          <t>Alterna i lati - All out attivo in tirata</t>
        </is>
      </c>
      <c r="U14" s="263" t="inlineStr">
        <is>
          <t>45"</t>
        </is>
      </c>
      <c r="V14" s="263" t="inlineStr">
        <is>
          <t>3;3;3</t>
        </is>
      </c>
    </row>
    <row r="15">
      <c r="A15" t="inlineStr">
        <is>
          <t>Isometria in trazione monobraccio 120° J.S.</t>
        </is>
      </c>
      <c r="B15" s="260" t="n">
        <v>3</v>
      </c>
      <c r="C15" s="260" t="inlineStr">
        <is>
          <t>12"x2</t>
        </is>
      </c>
      <c r="D15" s="260" t="inlineStr">
        <is>
          <t>RPE6</t>
        </is>
      </c>
      <c r="E15" s="260" t="inlineStr">
        <is>
          <t>Scarica</t>
        </is>
      </c>
      <c r="F15" s="260" t="inlineStr">
        <is>
          <t>\</t>
        </is>
      </c>
      <c r="G15" t="inlineStr">
        <is>
          <t>non fatti</t>
        </is>
      </c>
      <c r="H15" s="259" t="n"/>
      <c r="I15" t="inlineStr">
        <is>
          <t>Stacchi pinze</t>
        </is>
      </c>
      <c r="J15" s="260" t="inlineStr">
        <is>
          <t>15''</t>
        </is>
      </c>
      <c r="K15" s="260" t="n">
        <v>2</v>
      </c>
      <c r="L15" s="260" t="n">
        <v>3</v>
      </c>
      <c r="M15" s="260" t="inlineStr">
        <is>
          <t>22.5kg pp</t>
        </is>
      </c>
      <c r="N15" t="inlineStr">
        <is>
          <t>15'';15'';15'' duri con la sx</t>
        </is>
      </c>
      <c r="O15" s="259" t="n"/>
      <c r="P15" t="inlineStr">
        <is>
          <t>Isometria in trazione monobraccio 90° J.S.</t>
        </is>
      </c>
      <c r="Q15" s="263" t="n">
        <v>3</v>
      </c>
      <c r="R15" s="263" t="inlineStr">
        <is>
          <t>5"x4</t>
        </is>
      </c>
      <c r="S15" s="263" t="inlineStr">
        <is>
          <t>RPE7.5</t>
        </is>
      </c>
      <c r="T15" s="263" t="inlineStr">
        <is>
          <t>Scarico</t>
        </is>
      </c>
      <c r="U15" s="263" t="inlineStr">
        <is>
          <t>45"</t>
        </is>
      </c>
      <c r="V15" s="263" t="inlineStr">
        <is>
          <t>4;4;4</t>
        </is>
      </c>
    </row>
    <row r="16">
      <c r="A16" t="inlineStr">
        <is>
          <t>Isometrie femorali su panca alternati</t>
        </is>
      </c>
      <c r="B16" s="260" t="n">
        <v>3</v>
      </c>
      <c r="C16" s="260" t="inlineStr">
        <is>
          <t>25"</t>
        </is>
      </c>
      <c r="D16" s="260" t="n"/>
      <c r="E16" s="260" t="n"/>
      <c r="F16" s="260" t="inlineStr">
        <is>
          <t>45"</t>
        </is>
      </c>
      <c r="G16" t="inlineStr">
        <is>
          <t>non fatti</t>
        </is>
      </c>
      <c r="H16" s="259" t="n"/>
      <c r="I16" t="inlineStr">
        <is>
          <t>Sospensioni micros</t>
        </is>
      </c>
      <c r="J16" s="260" t="inlineStr">
        <is>
          <t>7''</t>
        </is>
      </c>
      <c r="K16" s="260" t="n">
        <v>3</v>
      </c>
      <c r="L16" s="260" t="n">
        <v>3</v>
      </c>
      <c r="M16" s="260" t="inlineStr">
        <is>
          <t>2,5kg</t>
        </is>
      </c>
      <c r="N16" t="inlineStr">
        <is>
          <t>3;3;3</t>
        </is>
      </c>
      <c r="O16" s="259" t="n"/>
      <c r="P16" t="inlineStr">
        <is>
          <t>Reverse plank</t>
        </is>
      </c>
      <c r="Q16" s="263" t="n">
        <v>3</v>
      </c>
      <c r="R16" s="263" t="inlineStr">
        <is>
          <t>15"</t>
        </is>
      </c>
      <c r="S16" s="263" t="n"/>
      <c r="T16" s="263" t="n"/>
      <c r="U16" s="263" t="inlineStr">
        <is>
          <t>45"</t>
        </is>
      </c>
      <c r="V16" s="263" t="inlineStr">
        <is>
          <t>15;15;15</t>
        </is>
      </c>
    </row>
    <row r="17">
      <c r="A17" t="inlineStr">
        <is>
          <t>Rematore manubrio in app. deadstop J.S.</t>
        </is>
      </c>
      <c r="B17" s="260" t="n">
        <v>3</v>
      </c>
      <c r="C17" s="260" t="n">
        <v>8</v>
      </c>
      <c r="D17" s="260" t="inlineStr">
        <is>
          <t>RPE8</t>
        </is>
      </c>
      <c r="E17" s="260" t="n"/>
      <c r="F17" s="260" t="inlineStr">
        <is>
          <t>1'30''</t>
        </is>
      </c>
      <c r="G17" t="inlineStr">
        <is>
          <t>non fatti</t>
        </is>
      </c>
      <c r="H17" s="259" t="n"/>
      <c r="I17" t="inlineStr">
        <is>
          <t>Sospensioni due mani 20mm</t>
        </is>
      </c>
      <c r="J17" s="260" t="inlineStr">
        <is>
          <t>AMRAP</t>
        </is>
      </c>
      <c r="K17" s="260" t="n">
        <v>1</v>
      </c>
      <c r="L17" s="260" t="n">
        <v>1</v>
      </c>
      <c r="M17" s="260" t="inlineStr">
        <is>
          <t>25kg</t>
        </is>
      </c>
      <c r="N17" t="inlineStr">
        <is>
          <t>8''</t>
        </is>
      </c>
      <c r="O17" s="259" t="n"/>
      <c r="P17" t="inlineStr">
        <is>
          <t>Reclutamenti scapolari monobraccio assistiti J.S.</t>
        </is>
      </c>
      <c r="Q17" s="263" t="n">
        <v>3</v>
      </c>
      <c r="R17" s="263" t="inlineStr">
        <is>
          <t xml:space="preserve">RPE8: 8 </t>
        </is>
      </c>
      <c r="S17" s="263" t="inlineStr">
        <is>
          <t>-28,5kg</t>
        </is>
      </c>
      <c r="T17" s="263" t="inlineStr">
        <is>
          <t>2"iso in cima</t>
        </is>
      </c>
      <c r="U17" s="263" t="inlineStr">
        <is>
          <t>1'15"</t>
        </is>
      </c>
      <c r="V17" s="263" t="inlineStr">
        <is>
          <t>8;6;6</t>
        </is>
      </c>
    </row>
    <row r="18">
      <c r="A18" t="inlineStr">
        <is>
          <t>Panca piana manubri (manubrio singolo)</t>
        </is>
      </c>
      <c r="B18" s="260" t="n">
        <v>3</v>
      </c>
      <c r="C18" s="260" t="inlineStr">
        <is>
          <t>5-9</t>
        </is>
      </c>
      <c r="D18" s="260" t="n"/>
      <c r="E18" s="260" t="inlineStr">
        <is>
          <t>Aumenta carico quando riesci a completare tutte le serie a 9 reps</t>
        </is>
      </c>
      <c r="F18" s="260" t="inlineStr">
        <is>
          <t>1'30"</t>
        </is>
      </c>
      <c r="G18" t="inlineStr">
        <is>
          <t>non fatti</t>
        </is>
      </c>
      <c r="H18" s="259" t="n"/>
      <c r="O18" s="259" t="n"/>
      <c r="P18" t="inlineStr">
        <is>
          <t>Trazioni stato dinamico 120°</t>
        </is>
      </c>
      <c r="Q18" s="263" t="n">
        <v>3</v>
      </c>
      <c r="R18" s="263" t="inlineStr">
        <is>
          <t xml:space="preserve">RPE8.5: 6 </t>
        </is>
      </c>
      <c r="S18" s="263" t="n"/>
      <c r="T18" s="263" t="inlineStr">
        <is>
          <t>Chiudo fino a 120° - faccio 2" di pausa - riparto esplosivo fino a chiusura completa</t>
        </is>
      </c>
      <c r="U18" s="263" t="inlineStr">
        <is>
          <t>1'15"</t>
        </is>
      </c>
      <c r="V18" s="263" t="inlineStr">
        <is>
          <t>6;5;6</t>
        </is>
      </c>
    </row>
    <row r="19">
      <c r="A19" t="inlineStr">
        <is>
          <t>ISOMETRIA Curl manubri gomito 120° J.S.</t>
        </is>
      </c>
      <c r="B19" s="260" t="n">
        <v>4</v>
      </c>
      <c r="C19" s="260" t="inlineStr">
        <is>
          <t>20"</t>
        </is>
      </c>
      <c r="D19" s="260" t="n"/>
      <c r="E19" s="260" t="n"/>
      <c r="F19" s="260" t="inlineStr">
        <is>
          <t>1'</t>
        </is>
      </c>
      <c r="G19" t="inlineStr">
        <is>
          <t>non fatti</t>
        </is>
      </c>
      <c r="H19" s="259" t="n"/>
      <c r="O19" s="259" t="n"/>
      <c r="P19" t="inlineStr">
        <is>
          <t>Lateral leg raises gambe piegate J.S.</t>
        </is>
      </c>
      <c r="Q19" s="263" t="inlineStr">
        <is>
          <t>5\5\4\4</t>
        </is>
      </c>
      <c r="R19" s="263" t="n"/>
      <c r="S19" s="263" t="inlineStr">
        <is>
          <t>RPE7.5</t>
        </is>
      </c>
      <c r="T19" s="263" t="inlineStr">
        <is>
          <t>Per lato - Regolo isometria per raggiungere RPE</t>
        </is>
      </c>
      <c r="U19" s="263" t="inlineStr">
        <is>
          <t>1'30''</t>
        </is>
      </c>
      <c r="V19" s="263" t="inlineStr">
        <is>
          <t>non fatti</t>
        </is>
      </c>
    </row>
    <row r="20">
      <c r="A20" t="inlineStr">
        <is>
          <t>Alzate laterali busto 90° su panca 30°</t>
        </is>
      </c>
      <c r="B20" s="260" t="n">
        <v>4</v>
      </c>
      <c r="C20" s="260" t="n">
        <v>8</v>
      </c>
      <c r="D20" s="260" t="inlineStr">
        <is>
          <t>Wk9</t>
        </is>
      </c>
      <c r="E20" s="260" t="n"/>
      <c r="F20" s="260" t="inlineStr">
        <is>
          <t>1'</t>
        </is>
      </c>
      <c r="G20" t="inlineStr">
        <is>
          <t>non fatti</t>
        </is>
      </c>
      <c r="H20" s="259" t="n"/>
      <c r="O20" s="259" t="n"/>
      <c r="P20" t="inlineStr">
        <is>
          <t>Rematore TRX mono braccio</t>
        </is>
      </c>
      <c r="Q20" s="263" t="n">
        <v>4</v>
      </c>
      <c r="R20" s="263" t="n">
        <v>6</v>
      </c>
      <c r="S20" s="263" t="inlineStr">
        <is>
          <t>Wk9</t>
        </is>
      </c>
      <c r="T20" s="263" t="inlineStr">
        <is>
          <t>Regola inclinazione per raggiungere RPE</t>
        </is>
      </c>
      <c r="U20" s="263" t="inlineStr">
        <is>
          <t>1'15"</t>
        </is>
      </c>
      <c r="V20" s="263" t="inlineStr">
        <is>
          <t>non fatti</t>
        </is>
      </c>
    </row>
    <row r="21">
      <c r="A21" t="inlineStr">
        <is>
          <t>Curl manubri J.S.</t>
        </is>
      </c>
      <c r="B21" s="260" t="inlineStr">
        <is>
          <t>6/6/8/10</t>
        </is>
      </c>
      <c r="C21" s="260" t="n"/>
      <c r="D21" s="260" t="n"/>
      <c r="E21" s="260" t="inlineStr">
        <is>
          <t>Aumenta nella settimana successiva il carico nelle serie più facili</t>
        </is>
      </c>
      <c r="F21" s="260" t="inlineStr">
        <is>
          <t>1'15"</t>
        </is>
      </c>
      <c r="G21" t="inlineStr">
        <is>
          <t>non fatti</t>
        </is>
      </c>
      <c r="H21" s="259" t="n"/>
      <c r="O21" s="259" t="n"/>
      <c r="P21" t="inlineStr">
        <is>
          <t>Curl manubri a martello alternato</t>
        </is>
      </c>
      <c r="Q21" s="263" t="n">
        <v>4</v>
      </c>
      <c r="R21" s="263" t="n">
        <v>5</v>
      </c>
      <c r="S21" s="263" t="inlineStr">
        <is>
          <t>Wk9</t>
        </is>
      </c>
      <c r="T21" s="263" t="n"/>
      <c r="U21" s="263" t="inlineStr">
        <is>
          <t>1'15"</t>
        </is>
      </c>
      <c r="V21" s="263" t="inlineStr">
        <is>
          <t>non fatti</t>
        </is>
      </c>
    </row>
    <row r="22">
      <c r="A22" t="inlineStr">
        <is>
          <t>Vertical leg raises gambe tese</t>
        </is>
      </c>
      <c r="B22" s="260" t="n">
        <v>3</v>
      </c>
      <c r="C22" s="260" t="inlineStr">
        <is>
          <t>RPE8</t>
        </is>
      </c>
      <c r="D22" s="260" t="n"/>
      <c r="E22" s="260" t="inlineStr">
        <is>
          <t>1"iso</t>
        </is>
      </c>
      <c r="F22" s="260" t="inlineStr">
        <is>
          <t>1'15"</t>
        </is>
      </c>
      <c r="G22" t="inlineStr">
        <is>
          <t>non fatti</t>
        </is>
      </c>
      <c r="H22" s="259" t="n"/>
      <c r="O22" s="259" t="n"/>
      <c r="P22" t="inlineStr">
        <is>
          <t>Piegamenti monobraccio isometrici</t>
        </is>
      </c>
      <c r="Q22" s="263" t="n">
        <v>4</v>
      </c>
      <c r="R22" s="263" t="inlineStr">
        <is>
          <t>20"</t>
        </is>
      </c>
      <c r="S22" s="263" t="inlineStr">
        <is>
          <t>RPE9</t>
        </is>
      </c>
      <c r="T22" s="263" t="inlineStr">
        <is>
          <t>Regola profondità per arrivare ad RPE</t>
        </is>
      </c>
      <c r="U22" s="263" t="inlineStr">
        <is>
          <t>1'</t>
        </is>
      </c>
      <c r="V22" s="263" t="inlineStr">
        <is>
          <t>non fatti</t>
        </is>
      </c>
    </row>
    <row r="23">
      <c r="A23" s="257" t="inlineStr">
        <is>
          <t>Potenziamento 1</t>
        </is>
      </c>
      <c r="B23" s="258" t="n"/>
      <c r="C23" s="258" t="n"/>
      <c r="D23" s="258" t="n"/>
      <c r="E23" s="258" t="n"/>
      <c r="F23" s="258" t="n"/>
      <c r="G23" s="257" t="n"/>
      <c r="H23" s="259" t="n"/>
      <c r="I23" s="257" t="inlineStr">
        <is>
          <t>Sospensioni Forza</t>
        </is>
      </c>
      <c r="J23" s="258" t="n"/>
      <c r="K23" s="258" t="n"/>
      <c r="L23" s="258" t="n"/>
      <c r="M23" s="258" t="n"/>
      <c r="N23" s="257" t="n"/>
      <c r="O23" s="259" t="n"/>
      <c r="P23" s="257" t="inlineStr">
        <is>
          <t>Potenziamento 2</t>
        </is>
      </c>
      <c r="Q23" s="258" t="n"/>
      <c r="R23" s="258" t="n"/>
      <c r="S23" s="258" t="n"/>
      <c r="T23" s="258" t="n"/>
      <c r="U23" s="258" t="n"/>
      <c r="V23" s="258" t="n"/>
    </row>
    <row r="24">
      <c r="A24" t="inlineStr">
        <is>
          <t>Trazioni assistite MONOBRACCIO J.S.</t>
        </is>
      </c>
      <c r="B24" s="260" t="inlineStr">
        <is>
          <t>7/7/7/7</t>
        </is>
      </c>
      <c r="C24" s="260" t="n"/>
      <c r="D24" s="260" t="inlineStr">
        <is>
          <t>Wk9: -35kg</t>
        </is>
      </c>
      <c r="E24" s="260" t="inlineStr">
        <is>
          <t>Scarica</t>
        </is>
      </c>
      <c r="F24" s="260" t="inlineStr">
        <is>
          <t>2'</t>
        </is>
      </c>
      <c r="G24" t="inlineStr">
        <is>
          <t>7;7;7;7</t>
        </is>
      </c>
      <c r="H24" s="259" t="n"/>
      <c r="I24" t="inlineStr">
        <is>
          <t>Stacchi da terra 20mm</t>
        </is>
      </c>
      <c r="J24" t="inlineStr">
        <is>
          <t>X</t>
        </is>
      </c>
      <c r="K24" t="n">
        <v>3</v>
      </c>
      <c r="L24" t="n">
        <v>3</v>
      </c>
      <c r="M24" t="inlineStr">
        <is>
          <t>43kg pp</t>
        </is>
      </c>
      <c r="N24" t="inlineStr">
        <is>
          <t>3;3;3</t>
        </is>
      </c>
      <c r="O24" s="259" t="n"/>
      <c r="P24" t="inlineStr">
        <is>
          <t>Trazioni assistite MONOBRACCIO fino a 90° J.S.</t>
        </is>
      </c>
      <c r="Q24" s="260" t="n">
        <v>4</v>
      </c>
      <c r="R24" s="260" t="n">
        <v>4</v>
      </c>
      <c r="S24" s="260" t="inlineStr">
        <is>
          <t>RPE8: -35kg</t>
        </is>
      </c>
      <c r="T24" s="260" t="inlineStr">
        <is>
          <t>Scarico</t>
        </is>
      </c>
      <c r="U24" s="260" t="inlineStr">
        <is>
          <t>1'</t>
        </is>
      </c>
      <c r="V24" t="inlineStr">
        <is>
          <t>4;4;4;4</t>
        </is>
      </c>
    </row>
    <row r="25">
      <c r="A25" t="inlineStr">
        <is>
          <t>Reverse plank monopodalica</t>
        </is>
      </c>
      <c r="B25" s="260" t="n">
        <v>3</v>
      </c>
      <c r="C25" s="260" t="inlineStr">
        <is>
          <t>3x6"</t>
        </is>
      </c>
      <c r="D25" s="260" t="n"/>
      <c r="E25" s="260" t="inlineStr">
        <is>
          <t>Alterna i lati</t>
        </is>
      </c>
      <c r="F25" s="260" t="inlineStr">
        <is>
          <t>45"</t>
        </is>
      </c>
      <c r="G25" t="inlineStr">
        <is>
          <t>3;3;3</t>
        </is>
      </c>
      <c r="H25" s="259" t="n"/>
      <c r="I25" t="inlineStr">
        <is>
          <t>Sospensioni svase</t>
        </is>
      </c>
      <c r="J25" t="n">
        <v>10</v>
      </c>
      <c r="K25" t="n">
        <v>2</v>
      </c>
      <c r="L25" t="n">
        <v>3</v>
      </c>
      <c r="M25" t="inlineStr">
        <is>
          <t>RPE8,5: 28kg</t>
        </is>
      </c>
      <c r="N25" t="inlineStr">
        <is>
          <t>2;2;2</t>
        </is>
      </c>
      <c r="O25" s="259" t="n"/>
      <c r="P25" t="inlineStr">
        <is>
          <t>Isometrie femorali su panca alternati</t>
        </is>
      </c>
      <c r="Q25" s="260" t="n">
        <v>3</v>
      </c>
      <c r="R25" s="260" t="inlineStr">
        <is>
          <t>3x6"</t>
        </is>
      </c>
      <c r="S25" s="260" t="n"/>
      <c r="T25" s="260" t="inlineStr">
        <is>
          <t>Alterna i lati - All out attivo in tirata</t>
        </is>
      </c>
      <c r="U25" s="260" t="inlineStr">
        <is>
          <t>45"</t>
        </is>
      </c>
      <c r="V25" t="inlineStr">
        <is>
          <t>3;3;3</t>
        </is>
      </c>
    </row>
    <row r="26">
      <c r="A26" t="inlineStr">
        <is>
          <t>Isometria in trazione monobraccio 120° J.S.</t>
        </is>
      </c>
      <c r="B26" s="260" t="n">
        <v>3</v>
      </c>
      <c r="C26" s="260" t="inlineStr">
        <is>
          <t>14"x2</t>
        </is>
      </c>
      <c r="D26" s="260" t="inlineStr">
        <is>
          <t>RPE6: -40kg</t>
        </is>
      </c>
      <c r="E26" s="260" t="inlineStr">
        <is>
          <t>Scarica</t>
        </is>
      </c>
      <c r="F26" s="260" t="inlineStr">
        <is>
          <t>\</t>
        </is>
      </c>
      <c r="H26" s="259" t="n"/>
      <c r="I26" t="inlineStr">
        <is>
          <t>Stacchi pinze</t>
        </is>
      </c>
      <c r="J26" t="n">
        <v>15</v>
      </c>
      <c r="K26" t="n">
        <v>2</v>
      </c>
      <c r="L26" t="n">
        <v>3</v>
      </c>
      <c r="M26" s="260" t="inlineStr">
        <is>
          <t>21kg pp</t>
        </is>
      </c>
      <c r="N26" t="inlineStr">
        <is>
          <t>15;15;15</t>
        </is>
      </c>
      <c r="O26" s="259" t="n"/>
      <c r="P26" t="inlineStr">
        <is>
          <t>Isometria in trazione monobraccio 90° J.S.</t>
        </is>
      </c>
      <c r="Q26" s="260" t="n">
        <v>3</v>
      </c>
      <c r="R26" s="260" t="inlineStr">
        <is>
          <t>7"x4</t>
        </is>
      </c>
      <c r="S26" s="260" t="inlineStr">
        <is>
          <t>RPE8: -30kg</t>
        </is>
      </c>
      <c r="T26" s="260" t="inlineStr">
        <is>
          <t>Scarico</t>
        </is>
      </c>
      <c r="U26" s="260" t="inlineStr">
        <is>
          <t>45"</t>
        </is>
      </c>
      <c r="V26" t="inlineStr">
        <is>
          <t>4;4;4</t>
        </is>
      </c>
    </row>
    <row r="27">
      <c r="A27" t="inlineStr">
        <is>
          <t>Isometrie femorali su panca alternati</t>
        </is>
      </c>
      <c r="B27" s="260" t="n">
        <v>3</v>
      </c>
      <c r="C27" s="260" t="inlineStr">
        <is>
          <t>25"</t>
        </is>
      </c>
      <c r="D27" s="260" t="n"/>
      <c r="E27" s="260" t="n"/>
      <c r="F27" s="260" t="inlineStr">
        <is>
          <t>45"</t>
        </is>
      </c>
      <c r="H27" s="259" t="n"/>
      <c r="I27" t="inlineStr">
        <is>
          <t>Sospensioni micros</t>
        </is>
      </c>
      <c r="J27" t="n">
        <v>7</v>
      </c>
      <c r="K27" t="n">
        <v>3</v>
      </c>
      <c r="L27" t="n">
        <v>3</v>
      </c>
      <c r="M27" s="260" t="inlineStr">
        <is>
          <t>2,5kg</t>
        </is>
      </c>
      <c r="N27" t="inlineStr">
        <is>
          <t>3;3;3</t>
        </is>
      </c>
      <c r="O27" s="259" t="n"/>
      <c r="P27" t="inlineStr">
        <is>
          <t>Reverse plank</t>
        </is>
      </c>
      <c r="Q27" s="260" t="n">
        <v>3</v>
      </c>
      <c r="R27" s="260" t="inlineStr">
        <is>
          <t>20"</t>
        </is>
      </c>
      <c r="S27" s="260" t="n"/>
      <c r="T27" s="260" t="n"/>
      <c r="U27" s="260" t="inlineStr">
        <is>
          <t>45"</t>
        </is>
      </c>
      <c r="V27" t="inlineStr">
        <is>
          <t>non fatti</t>
        </is>
      </c>
    </row>
    <row r="28">
      <c r="A28" t="inlineStr">
        <is>
          <t>Rematore manubrio in app. deadstop J.S.</t>
        </is>
      </c>
      <c r="B28" s="260" t="n">
        <v>3</v>
      </c>
      <c r="C28" s="260" t="n">
        <v>8</v>
      </c>
      <c r="D28" s="260" t="inlineStr">
        <is>
          <t>RPE8.5: 25kg pp</t>
        </is>
      </c>
      <c r="E28" s="260" t="n"/>
      <c r="F28" s="260" t="inlineStr">
        <is>
          <t>1'30''</t>
        </is>
      </c>
      <c r="H28" s="259" t="n"/>
      <c r="I28" t="inlineStr">
        <is>
          <t>Sospensioni due mani 20mm</t>
        </is>
      </c>
      <c r="J28" t="inlineStr">
        <is>
          <t>AMRAP</t>
        </is>
      </c>
      <c r="K28" t="n">
        <v>1</v>
      </c>
      <c r="L28" t="n">
        <v>1</v>
      </c>
      <c r="M28" s="260" t="inlineStr">
        <is>
          <t>25kg</t>
        </is>
      </c>
      <c r="N28" t="inlineStr">
        <is>
          <t>21'' (con molto rest)</t>
        </is>
      </c>
      <c r="O28" s="259" t="n"/>
      <c r="P28" t="inlineStr">
        <is>
          <t>Reclutamenti scapolari monobraccio assistiti J.S.</t>
        </is>
      </c>
      <c r="Q28" s="260" t="n">
        <v>3</v>
      </c>
      <c r="R28" s="260" t="inlineStr">
        <is>
          <t>RPE8.5 : 8</t>
        </is>
      </c>
      <c r="S28" s="263" t="inlineStr">
        <is>
          <t>-30kg</t>
        </is>
      </c>
      <c r="T28" s="260" t="inlineStr">
        <is>
          <t>2"iso in cima</t>
        </is>
      </c>
      <c r="U28" s="260" t="inlineStr">
        <is>
          <t>1'15"</t>
        </is>
      </c>
      <c r="V28" t="inlineStr">
        <is>
          <t>8;8;8</t>
        </is>
      </c>
    </row>
    <row r="29">
      <c r="A29" t="inlineStr">
        <is>
          <t>Panca piana manubri (manubrio singolo)</t>
        </is>
      </c>
      <c r="B29" s="260" t="n">
        <v>3</v>
      </c>
      <c r="C29" s="260" t="inlineStr">
        <is>
          <t>5-9</t>
        </is>
      </c>
      <c r="D29" s="260" t="inlineStr">
        <is>
          <t>22,5kg pp</t>
        </is>
      </c>
      <c r="E29" s="260" t="inlineStr">
        <is>
          <t>Aumenta carico quando riesci a completare tutte le serie a 9 reps</t>
        </is>
      </c>
      <c r="F29" s="260" t="inlineStr">
        <is>
          <t>1'30"</t>
        </is>
      </c>
      <c r="H29" s="259" t="n"/>
      <c r="O29" s="259" t="n"/>
      <c r="P29" t="inlineStr">
        <is>
          <t>Trazioni stato dinamico 120°</t>
        </is>
      </c>
      <c r="Q29" s="260" t="n">
        <v>3</v>
      </c>
      <c r="R29" s="260" t="inlineStr">
        <is>
          <t>RPE9: 7</t>
        </is>
      </c>
      <c r="S29" s="260" t="n"/>
      <c r="T29" s="260" t="inlineStr">
        <is>
          <t>Chiudo fino a 120° - faccio 2" di pausa - riparto esplosivo fino a chiusura completa</t>
        </is>
      </c>
      <c r="U29" s="260" t="inlineStr">
        <is>
          <t>1'30"</t>
        </is>
      </c>
      <c r="V29" t="inlineStr">
        <is>
          <t>5;7;4</t>
        </is>
      </c>
    </row>
    <row r="30">
      <c r="A30" t="inlineStr">
        <is>
          <t>ISOMETRIA Curl manubri gomito 120° J.S.</t>
        </is>
      </c>
      <c r="B30" s="260" t="n">
        <v>4</v>
      </c>
      <c r="C30" s="260" t="inlineStr">
        <is>
          <t>20"</t>
        </is>
      </c>
      <c r="D30" s="260" t="inlineStr">
        <is>
          <t>7kg pp</t>
        </is>
      </c>
      <c r="E30" s="260" t="n"/>
      <c r="F30" s="260" t="inlineStr">
        <is>
          <t>1'</t>
        </is>
      </c>
      <c r="H30" s="259" t="n"/>
      <c r="O30" s="259" t="n"/>
      <c r="P30" t="inlineStr">
        <is>
          <t>Lateral leg raises gambe piegate J.S.</t>
        </is>
      </c>
      <c r="Q30" s="260" t="inlineStr">
        <is>
          <t>5\5\5\5</t>
        </is>
      </c>
      <c r="R30" s="260" t="n"/>
      <c r="S30" s="260" t="inlineStr">
        <is>
          <t>RPE7.5</t>
        </is>
      </c>
      <c r="T30" s="260" t="inlineStr">
        <is>
          <t>Per lato - Regolo isometria per raggiungere RPE</t>
        </is>
      </c>
      <c r="U30" s="260" t="inlineStr">
        <is>
          <t>1'30''</t>
        </is>
      </c>
      <c r="V30" t="inlineStr">
        <is>
          <t>5;5;5</t>
        </is>
      </c>
    </row>
    <row r="31">
      <c r="A31" t="inlineStr">
        <is>
          <t>Alzate laterali busto 90° su panca 30°</t>
        </is>
      </c>
      <c r="B31" s="260" t="n">
        <v>3</v>
      </c>
      <c r="C31" s="260" t="n">
        <v>10</v>
      </c>
      <c r="D31" s="260" t="inlineStr">
        <is>
          <t>Wk9: 7kg pp</t>
        </is>
      </c>
      <c r="E31" s="260" t="n"/>
      <c r="F31" s="260" t="inlineStr">
        <is>
          <t>1'30''</t>
        </is>
      </c>
      <c r="H31" s="259" t="n"/>
      <c r="O31" s="259" t="n"/>
      <c r="P31" t="inlineStr">
        <is>
          <t>Rematore TRX mono braccio</t>
        </is>
      </c>
      <c r="Q31" s="260" t="n">
        <v>3</v>
      </c>
      <c r="R31" s="260" t="n">
        <v>8</v>
      </c>
      <c r="S31" s="260" t="inlineStr">
        <is>
          <t>Wk9</t>
        </is>
      </c>
      <c r="T31" s="260" t="inlineStr">
        <is>
          <t>Regola inclinazione per raggiungere RPE</t>
        </is>
      </c>
      <c r="U31" s="260" t="inlineStr">
        <is>
          <t>1'15"</t>
        </is>
      </c>
      <c r="V31" t="inlineStr">
        <is>
          <t>8;8;8</t>
        </is>
      </c>
    </row>
    <row r="32">
      <c r="A32" t="inlineStr">
        <is>
          <t>Curl manubri J.S.</t>
        </is>
      </c>
      <c r="B32" s="260" t="inlineStr">
        <is>
          <t>6/6/8/10</t>
        </is>
      </c>
      <c r="C32" s="260" t="n"/>
      <c r="D32" s="260" t="inlineStr">
        <is>
          <t>8kg pp</t>
        </is>
      </c>
      <c r="E32" s="260" t="inlineStr">
        <is>
          <t>Aumenta nella settimana successiva il carico nelle serie più facili</t>
        </is>
      </c>
      <c r="F32" s="260" t="inlineStr">
        <is>
          <t>1'15"</t>
        </is>
      </c>
      <c r="G32" t="inlineStr">
        <is>
          <t>6;6</t>
        </is>
      </c>
      <c r="H32" s="259" t="n"/>
      <c r="O32" s="259" t="n"/>
      <c r="P32" t="inlineStr">
        <is>
          <t>Curl manubri a martello alternato</t>
        </is>
      </c>
      <c r="Q32" s="260" t="n">
        <v>3</v>
      </c>
      <c r="R32" s="260" t="n">
        <v>7</v>
      </c>
      <c r="S32" s="260" t="inlineStr">
        <is>
          <t>Wk9 : 8kg pp</t>
        </is>
      </c>
      <c r="T32" s="260" t="n"/>
      <c r="U32" s="260" t="inlineStr">
        <is>
          <t>1'15"</t>
        </is>
      </c>
      <c r="V32" t="inlineStr">
        <is>
          <t>7;7;7</t>
        </is>
      </c>
    </row>
    <row r="33">
      <c r="A33" t="inlineStr">
        <is>
          <t>Vertical leg raises gambe tese</t>
        </is>
      </c>
      <c r="B33" s="260" t="n">
        <v>3</v>
      </c>
      <c r="C33" s="260" t="inlineStr">
        <is>
          <t>RPE8.5: 9</t>
        </is>
      </c>
      <c r="D33" s="260" t="n"/>
      <c r="E33" s="260" t="inlineStr">
        <is>
          <t>1"iso</t>
        </is>
      </c>
      <c r="F33" s="260" t="inlineStr">
        <is>
          <t>1'15"</t>
        </is>
      </c>
      <c r="G33" t="inlineStr">
        <is>
          <t>8;9;</t>
        </is>
      </c>
      <c r="H33" s="259" t="n"/>
      <c r="O33" s="259" t="n"/>
      <c r="P33" t="inlineStr">
        <is>
          <t>Piegamenti monobraccio isometrici</t>
        </is>
      </c>
      <c r="Q33" s="260" t="n">
        <v>4</v>
      </c>
      <c r="R33" s="260" t="inlineStr">
        <is>
          <t>20"</t>
        </is>
      </c>
      <c r="S33" s="260" t="inlineStr">
        <is>
          <t>RPE10</t>
        </is>
      </c>
      <c r="T33" s="260" t="inlineStr">
        <is>
          <t>Regola profondità per arrivare ad RPE</t>
        </is>
      </c>
      <c r="U33" s="260" t="inlineStr">
        <is>
          <t>1'</t>
        </is>
      </c>
      <c r="V33" t="inlineStr">
        <is>
          <t>20'';20'';20'';</t>
        </is>
      </c>
    </row>
    <row r="34">
      <c r="A34" s="257" t="inlineStr">
        <is>
          <t>Potenziamento 1</t>
        </is>
      </c>
      <c r="B34" s="258" t="n"/>
      <c r="C34" s="258" t="n"/>
      <c r="D34" s="258" t="n"/>
      <c r="E34" s="258" t="n"/>
      <c r="F34" s="258" t="n"/>
      <c r="G34" s="257" t="n"/>
      <c r="H34" s="259" t="n"/>
      <c r="I34" s="257" t="inlineStr">
        <is>
          <t>Sospensioni Forza - fatto su trave moon</t>
        </is>
      </c>
      <c r="J34" s="258" t="n"/>
      <c r="K34" s="258" t="n"/>
      <c r="L34" s="258" t="n"/>
      <c r="M34" s="258" t="n"/>
      <c r="N34" s="257" t="n"/>
      <c r="O34" s="259" t="n"/>
      <c r="P34" s="257" t="inlineStr">
        <is>
          <t>Potenziamento 2</t>
        </is>
      </c>
      <c r="Q34" s="258" t="n"/>
      <c r="R34" s="258" t="n"/>
      <c r="S34" s="258" t="n"/>
      <c r="T34" s="258" t="n"/>
      <c r="U34" s="258" t="n"/>
      <c r="V34" s="258" t="n"/>
    </row>
    <row r="35">
      <c r="A35" t="inlineStr">
        <is>
          <t>Trazioni assistite MONOBRACCIO J.S.</t>
        </is>
      </c>
      <c r="G35" t="inlineStr">
        <is>
          <t>non fatti</t>
        </is>
      </c>
      <c r="H35" s="259" t="n"/>
      <c r="I35" t="inlineStr">
        <is>
          <t>Stacchi da terra 20mm</t>
        </is>
      </c>
      <c r="J35" t="inlineStr">
        <is>
          <t>X</t>
        </is>
      </c>
      <c r="K35" t="n">
        <v>1</v>
      </c>
      <c r="L35" t="n">
        <v>1</v>
      </c>
      <c r="M35" t="inlineStr">
        <is>
          <t>RPE10</t>
        </is>
      </c>
      <c r="N35" t="inlineStr">
        <is>
          <t>46,3kg</t>
        </is>
      </c>
      <c r="O35" s="259" t="n"/>
      <c r="P35" t="inlineStr">
        <is>
          <t>Trazioni assistite MONOBRACCIO fino a 90° J.S.</t>
        </is>
      </c>
      <c r="Q35" t="n">
        <v>3</v>
      </c>
      <c r="R35" t="n">
        <v>3</v>
      </c>
      <c r="S35" t="inlineStr">
        <is>
          <t>RPE7: -33kg</t>
        </is>
      </c>
      <c r="T35" t="inlineStr">
        <is>
          <t>Scarico</t>
        </is>
      </c>
      <c r="U35" t="inlineStr">
        <is>
          <t>1'</t>
        </is>
      </c>
    </row>
    <row r="36">
      <c r="A36" t="inlineStr">
        <is>
          <t>Reverse plank monopodalica</t>
        </is>
      </c>
      <c r="G36" t="inlineStr">
        <is>
          <t>non fatti</t>
        </is>
      </c>
      <c r="H36" s="259" t="n"/>
      <c r="I36" t="inlineStr">
        <is>
          <t>Trazioni 3 RM</t>
        </is>
      </c>
      <c r="N36" t="inlineStr">
        <is>
          <t>24,5kg</t>
        </is>
      </c>
      <c r="O36" s="259" t="n"/>
      <c r="P36" t="inlineStr">
        <is>
          <t>Isometrie femorali su panca alternati</t>
        </is>
      </c>
      <c r="Q36" t="n">
        <v>3</v>
      </c>
      <c r="R36" t="inlineStr">
        <is>
          <t>3x7"</t>
        </is>
      </c>
      <c r="T36" t="inlineStr">
        <is>
          <t>Alterna i lati - All out attivo in tirata</t>
        </is>
      </c>
      <c r="U36" t="inlineStr">
        <is>
          <t>45"</t>
        </is>
      </c>
    </row>
    <row r="37">
      <c r="A37" t="inlineStr">
        <is>
          <t>Isometria in trazione monobraccio 120° J.S.</t>
        </is>
      </c>
      <c r="G37" t="inlineStr">
        <is>
          <t>non fatti</t>
        </is>
      </c>
      <c r="H37" s="259" t="n"/>
      <c r="I37" t="inlineStr">
        <is>
          <t>Trazioni AMRAP</t>
        </is>
      </c>
      <c r="N37" t="n">
        <v>15</v>
      </c>
      <c r="O37" s="259" t="n"/>
      <c r="P37" t="inlineStr">
        <is>
          <t>Isometria in trazione monobraccio 90° J.S.</t>
        </is>
      </c>
      <c r="Q37" t="n">
        <v>2</v>
      </c>
      <c r="R37" t="inlineStr">
        <is>
          <t>9"x4</t>
        </is>
      </c>
      <c r="S37" t="inlineStr">
        <is>
          <t>RPE9: -25kg</t>
        </is>
      </c>
      <c r="T37" t="inlineStr">
        <is>
          <t>Scarico</t>
        </is>
      </c>
      <c r="U37" t="inlineStr">
        <is>
          <t>45"</t>
        </is>
      </c>
    </row>
    <row r="38">
      <c r="A38" t="inlineStr">
        <is>
          <t>Isometrie femorali su panca alternati</t>
        </is>
      </c>
      <c r="G38" t="inlineStr">
        <is>
          <t>non fatti</t>
        </is>
      </c>
      <c r="H38" s="259" t="n"/>
      <c r="I38" t="inlineStr">
        <is>
          <t>Carico massimale su 20mm x 7'' - CC</t>
        </is>
      </c>
      <c r="N38" t="inlineStr">
        <is>
          <t>31,5kg</t>
        </is>
      </c>
      <c r="O38" s="259" t="n"/>
      <c r="P38" t="inlineStr">
        <is>
          <t>Reverse plank</t>
        </is>
      </c>
      <c r="Q38" t="n">
        <v>3</v>
      </c>
      <c r="R38" t="inlineStr">
        <is>
          <t>20"</t>
        </is>
      </c>
      <c r="U38" t="inlineStr">
        <is>
          <t>45"</t>
        </is>
      </c>
    </row>
    <row r="39" ht="30.75" customHeight="1">
      <c r="A39" t="inlineStr">
        <is>
          <t>Rematore manubrio in app. deadstop J.S.</t>
        </is>
      </c>
      <c r="G39" t="inlineStr">
        <is>
          <t>non fatti</t>
        </is>
      </c>
      <c r="H39" s="259" t="n"/>
      <c r="I39" s="67" t="inlineStr">
        <is>
          <t>Numero massimale di 7''/3'' su 20mm - CC * 0,8</t>
        </is>
      </c>
      <c r="L39">
        <f>((31.5+63)*0.8)</f>
        <v/>
      </c>
      <c r="M39">
        <f>((31.5+63)*0.8)-63</f>
        <v/>
      </c>
      <c r="N39" t="inlineStr">
        <is>
          <t>10 rep</t>
        </is>
      </c>
      <c r="O39" s="259" t="n"/>
      <c r="P39" t="inlineStr">
        <is>
          <t>Reclutamenti scapolari monobraccio assistiti J.S.</t>
        </is>
      </c>
      <c r="Q39" t="n">
        <v>2</v>
      </c>
      <c r="R39" t="inlineStr">
        <is>
          <t>RPE9 : 8</t>
        </is>
      </c>
      <c r="S39" t="inlineStr">
        <is>
          <t>-28kg</t>
        </is>
      </c>
      <c r="T39" t="inlineStr">
        <is>
          <t>2"iso in cima</t>
        </is>
      </c>
      <c r="U39" t="inlineStr">
        <is>
          <t>1'15"</t>
        </is>
      </c>
    </row>
    <row r="40" ht="30.75" customHeight="1">
      <c r="A40" t="inlineStr">
        <is>
          <t>Panca piana manubri (manubrio singolo)</t>
        </is>
      </c>
      <c r="G40" t="inlineStr">
        <is>
          <t>non fatti</t>
        </is>
      </c>
      <c r="H40" s="259" t="n"/>
      <c r="I40" s="67" t="inlineStr">
        <is>
          <t>Numero massimale di 7''/3'' su 20mm - CC * 0,6</t>
        </is>
      </c>
      <c r="L40">
        <f>((31.5+63)*0.6)</f>
        <v/>
      </c>
      <c r="M40">
        <f>((31.5+63)*0.6)-63</f>
        <v/>
      </c>
      <c r="N40" t="inlineStr">
        <is>
          <t>23 rep</t>
        </is>
      </c>
      <c r="O40" s="259" t="n"/>
      <c r="P40" t="inlineStr">
        <is>
          <t>Trazioni stato dinamico 120°</t>
        </is>
      </c>
      <c r="Q40" t="n">
        <v>2</v>
      </c>
      <c r="R40" t="inlineStr">
        <is>
          <t>RPE9.5 : 6</t>
        </is>
      </c>
      <c r="S40" t="inlineStr">
        <is>
          <t>Chiudo fino a 120° - faccio 2" di pausa - riparto esplosivo fino a chiusura completa</t>
        </is>
      </c>
      <c r="T40" t="inlineStr">
        <is>
          <t>Chiudo fino a 120° - faccio 2" di pausa - riparto esplosivo fino a chiusura completa</t>
        </is>
      </c>
      <c r="U40" t="inlineStr">
        <is>
          <t>1'30"</t>
        </is>
      </c>
    </row>
    <row r="41" ht="30.75" customHeight="1">
      <c r="A41" t="inlineStr">
        <is>
          <t>ISOMETRIA Curl manubri gomito 120° J.S.</t>
        </is>
      </c>
      <c r="G41" t="inlineStr">
        <is>
          <t>non fatti</t>
        </is>
      </c>
      <c r="H41" s="259" t="n"/>
      <c r="I41" s="67" t="inlineStr">
        <is>
          <t>Numero massimale di 7''/3'' su 20mm - CC * 0,45</t>
        </is>
      </c>
      <c r="L41">
        <f>((31.5+63)*0.45)</f>
        <v/>
      </c>
      <c r="M41">
        <f>((31.5+63)*0.45)-63</f>
        <v/>
      </c>
      <c r="O41" s="259" t="n"/>
      <c r="P41" t="inlineStr">
        <is>
          <t>Lateral leg raises gambe piegate J.S.</t>
        </is>
      </c>
      <c r="Q41" t="inlineStr">
        <is>
          <t>4\4\4</t>
        </is>
      </c>
      <c r="S41" t="inlineStr">
        <is>
          <t>Aumento isometria</t>
        </is>
      </c>
      <c r="U41" t="inlineStr">
        <is>
          <t>1'30''</t>
        </is>
      </c>
    </row>
    <row r="42">
      <c r="A42" t="inlineStr">
        <is>
          <t>Alzate laterali busto 90° su panca 30°</t>
        </is>
      </c>
      <c r="G42" t="inlineStr">
        <is>
          <t>non fatti</t>
        </is>
      </c>
      <c r="H42" s="259" t="n"/>
      <c r="O42" s="259" t="n"/>
      <c r="P42" t="inlineStr">
        <is>
          <t>Rematore TRX mono braccio</t>
        </is>
      </c>
      <c r="Q42" t="n">
        <v>2</v>
      </c>
      <c r="R42" t="n">
        <v>8</v>
      </c>
      <c r="S42" t="inlineStr">
        <is>
          <t>Wk9</t>
        </is>
      </c>
      <c r="T42" t="inlineStr">
        <is>
          <t>Regola inclinazione per raggiungere RPE</t>
        </is>
      </c>
      <c r="U42" t="inlineStr">
        <is>
          <t>1'15"</t>
        </is>
      </c>
    </row>
    <row r="43">
      <c r="A43" t="inlineStr">
        <is>
          <t>Curl manubri J.S.</t>
        </is>
      </c>
      <c r="G43" t="inlineStr">
        <is>
          <t>non fatti</t>
        </is>
      </c>
      <c r="H43" s="259" t="n"/>
      <c r="O43" s="259" t="n"/>
      <c r="P43" t="inlineStr">
        <is>
          <t>Curl manubri a martello alternato</t>
        </is>
      </c>
      <c r="Q43" t="n">
        <v>2</v>
      </c>
      <c r="R43" t="n">
        <v>7</v>
      </c>
      <c r="S43" t="inlineStr">
        <is>
          <t>Wk9</t>
        </is>
      </c>
      <c r="U43" t="inlineStr">
        <is>
          <t>1'15"</t>
        </is>
      </c>
    </row>
    <row r="44">
      <c r="A44" t="inlineStr">
        <is>
          <t>Vertical leg raises gambe tese</t>
        </is>
      </c>
      <c r="G44" t="inlineStr">
        <is>
          <t>non fatti</t>
        </is>
      </c>
      <c r="H44" s="259" t="n"/>
      <c r="O44" s="259" t="n"/>
      <c r="P44" t="inlineStr">
        <is>
          <t>Piegamenti monobraccio isometrici</t>
        </is>
      </c>
      <c r="Q44" t="n">
        <v>2</v>
      </c>
      <c r="R44" t="inlineStr">
        <is>
          <t>20"</t>
        </is>
      </c>
      <c r="S44" t="inlineStr">
        <is>
          <t>RPE8</t>
        </is>
      </c>
      <c r="T44" t="inlineStr">
        <is>
          <t>Regola profondità per arrivare ad RPE</t>
        </is>
      </c>
      <c r="U44" t="inlineStr">
        <is>
          <t>1'</t>
        </is>
      </c>
    </row>
    <row r="45">
      <c r="H45" s="259" t="n"/>
      <c r="I45" s="257" t="inlineStr">
        <is>
          <t>Sospensioni Forza - fatto su trave moon</t>
        </is>
      </c>
      <c r="J45" s="258" t="n"/>
      <c r="K45" s="258" t="n"/>
      <c r="L45" s="258" t="n"/>
      <c r="M45" s="258" t="n"/>
      <c r="N45" s="257" t="n"/>
      <c r="O45" s="259" t="n"/>
    </row>
    <row r="46">
      <c r="H46" s="259" t="n"/>
      <c r="I46" t="inlineStr">
        <is>
          <t>Stacchi da terra 20mm</t>
        </is>
      </c>
      <c r="J46" t="inlineStr">
        <is>
          <t>X</t>
        </is>
      </c>
      <c r="K46" t="n">
        <v>3</v>
      </c>
      <c r="L46" t="n">
        <v>3</v>
      </c>
      <c r="M46" t="inlineStr">
        <is>
          <t>43kg pp</t>
        </is>
      </c>
      <c r="N46" t="inlineStr">
        <is>
          <t>3;3;3</t>
        </is>
      </c>
      <c r="O46" s="259" t="n"/>
    </row>
    <row r="47">
      <c r="H47" s="259" t="n"/>
      <c r="I47" t="inlineStr">
        <is>
          <t>Sospensioni svase</t>
        </is>
      </c>
      <c r="J47" t="n">
        <v>10</v>
      </c>
      <c r="K47" t="n">
        <v>2</v>
      </c>
      <c r="L47" t="n">
        <v>3</v>
      </c>
      <c r="M47" t="inlineStr">
        <is>
          <t>RPE8,5: 30kg</t>
        </is>
      </c>
      <c r="N47" t="inlineStr">
        <is>
          <t>2;2;2</t>
        </is>
      </c>
      <c r="O47" s="259" t="n"/>
    </row>
    <row r="48">
      <c r="H48" s="259" t="n"/>
      <c r="I48" t="inlineStr">
        <is>
          <t>Stacchi pinze</t>
        </is>
      </c>
      <c r="J48" t="n">
        <v>15</v>
      </c>
      <c r="K48" t="n">
        <v>2</v>
      </c>
      <c r="L48" t="n">
        <v>3</v>
      </c>
      <c r="M48" s="260" t="inlineStr">
        <is>
          <t>22kg pp</t>
        </is>
      </c>
      <c r="N48" t="inlineStr">
        <is>
          <t>2+2;2+2;2+2</t>
        </is>
      </c>
      <c r="O48" s="259" t="n"/>
    </row>
    <row r="49">
      <c r="H49" s="259" t="n"/>
      <c r="I49" t="inlineStr">
        <is>
          <t>Sospensioni micros</t>
        </is>
      </c>
      <c r="J49" t="n">
        <v>7</v>
      </c>
      <c r="K49" t="n">
        <v>3</v>
      </c>
      <c r="L49" t="n">
        <v>3</v>
      </c>
      <c r="M49" s="260" t="inlineStr">
        <is>
          <t>5kg</t>
        </is>
      </c>
      <c r="O49" s="259" t="n"/>
    </row>
    <row r="50">
      <c r="H50" s="259" t="n"/>
      <c r="I50" t="inlineStr">
        <is>
          <t>Sospensioni due mani 20mm</t>
        </is>
      </c>
      <c r="J50" t="inlineStr">
        <is>
          <t>AMRAP</t>
        </is>
      </c>
      <c r="K50" t="n">
        <v>1</v>
      </c>
      <c r="L50" t="n">
        <v>1</v>
      </c>
      <c r="M50" s="260" t="inlineStr">
        <is>
          <t>25kg</t>
        </is>
      </c>
      <c r="O50" s="259" t="n"/>
    </row>
    <row r="51">
      <c r="H51" s="259" t="n"/>
      <c r="O51" s="259" t="n"/>
    </row>
  </sheetData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2026-04-16T10:15:19Z</dcterms:modified>
  <cp:lastModifiedBy>Samuele Malavasi</cp:lastModifiedBy>
</cp:coreProperties>
</file>