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08" yWindow="-108" windowWidth="23256" windowHeight="12576" tabRatio="600" firstSheet="10" autoFilterDateGrouping="1"/>
  </bookViews>
  <sheets>
    <sheet xmlns:r="http://schemas.openxmlformats.org/officeDocument/2006/relationships" name="Pa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9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i val="1"/>
      <color theme="1"/>
      <sz val="11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30" fillId="14" borderId="0"/>
    <xf numFmtId="0" fontId="31" fillId="16" borderId="0"/>
  </cellStyleXfs>
  <cellXfs count="37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6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6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30" fillId="14" borderId="57" applyAlignment="1" pivotButton="0" quotePrefix="1" xfId="4">
      <alignment horizontal="center"/>
    </xf>
    <xf numFmtId="0" fontId="30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30" fillId="14" borderId="61" applyAlignment="1" pivotButton="0" quotePrefix="1" xfId="4">
      <alignment horizontal="center"/>
    </xf>
    <xf numFmtId="0" fontId="30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30" fillId="15" borderId="57" applyAlignment="1" pivotButton="0" quotePrefix="0" xfId="4">
      <alignment horizontal="center"/>
    </xf>
    <xf numFmtId="165" fontId="0" fillId="0" borderId="60" pivotButton="0" quotePrefix="0" xfId="0"/>
    <xf numFmtId="0" fontId="31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2" fillId="5" borderId="23" applyAlignment="1" pivotButton="0" quotePrefix="0" xfId="0">
      <alignment vertical="center" wrapText="1"/>
    </xf>
    <xf numFmtId="0" fontId="33" fillId="6" borderId="23" applyAlignment="1" pivotButton="0" quotePrefix="0" xfId="0">
      <alignment horizontal="right" vertical="top"/>
    </xf>
    <xf numFmtId="0" fontId="33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7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6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26" fillId="7" borderId="35" applyAlignment="1" pivotButton="0" quotePrefix="0" xfId="0">
      <alignment horizontal="center" vertical="center"/>
    </xf>
    <xf numFmtId="0" fontId="26" fillId="7" borderId="35" applyAlignment="1" pivotButton="0" quotePrefix="1" xfId="0">
      <alignment horizontal="center" vertical="center"/>
    </xf>
    <xf numFmtId="0" fontId="1" fillId="7" borderId="0" applyAlignment="1" pivotButton="0" quotePrefix="1" xfId="0">
      <alignment horizontal="center" vertical="center"/>
    </xf>
    <xf numFmtId="0" fontId="27" fillId="7" borderId="1" applyAlignment="1" pivotButton="0" quotePrefix="0" xfId="3">
      <alignment vertical="center"/>
    </xf>
    <xf numFmtId="0" fontId="0" fillId="0" borderId="0" applyAlignment="1" pivotButton="0" quotePrefix="0" xfId="0">
      <alignment horizontal="left" vertical="top"/>
    </xf>
    <xf numFmtId="16" fontId="0" fillId="0" borderId="0" applyAlignment="1" pivotButton="0" quotePrefix="0" xfId="0">
      <alignment horizontal="left" vertical="top"/>
    </xf>
    <xf numFmtId="0" fontId="37" fillId="17" borderId="0" applyAlignment="1" pivotButton="0" quotePrefix="0" xfId="0">
      <alignment horizontal="left" vertical="top"/>
    </xf>
    <xf numFmtId="0" fontId="38" fillId="17" borderId="0" applyAlignment="1" pivotButton="0" quotePrefix="0" xfId="0">
      <alignment horizontal="left" vertical="top"/>
    </xf>
    <xf numFmtId="0" fontId="37" fillId="18" borderId="0" applyAlignment="1" pivotButton="0" quotePrefix="0" xfId="0">
      <alignment horizontal="left" vertical="top"/>
    </xf>
    <xf numFmtId="16" fontId="0" fillId="0" borderId="0" applyAlignment="1" pivotButton="0" quotePrefix="1" xfId="0">
      <alignment horizontal="left" vertical="top"/>
    </xf>
    <xf numFmtId="0" fontId="30" fillId="14" borderId="57" applyAlignment="1" pivotButton="0" quotePrefix="0" xfId="4">
      <alignment horizontal="center"/>
    </xf>
    <xf numFmtId="0" fontId="30" fillId="14" borderId="58" applyAlignment="1" pivotButton="0" quotePrefix="0" xfId="4">
      <alignment horizontal="center"/>
    </xf>
    <xf numFmtId="0" fontId="0" fillId="0" borderId="0" applyAlignment="1" pivotButton="0" quotePrefix="0" xfId="0">
      <alignment horizontal="center" vertical="top"/>
    </xf>
    <xf numFmtId="0" fontId="0" fillId="19" borderId="17" applyAlignment="1" pivotButton="0" quotePrefix="0" xfId="0">
      <alignment horizontal="center" vertical="center" wrapText="1"/>
    </xf>
    <xf numFmtId="0" fontId="0" fillId="19" borderId="51" applyAlignment="1" pivotButton="0" quotePrefix="0" xfId="0">
      <alignment horizontal="center" vertical="center" wrapText="1"/>
    </xf>
    <xf numFmtId="0" fontId="0" fillId="19" borderId="53" applyAlignment="1" pivotButton="0" quotePrefix="0" xfId="0">
      <alignment horizontal="center" vertical="center" wrapText="1"/>
    </xf>
    <xf numFmtId="0" fontId="0" fillId="19" borderId="52" applyAlignment="1" pivotButton="0" quotePrefix="0" xfId="0">
      <alignment horizontal="center" vertical="center" wrapText="1"/>
    </xf>
    <xf numFmtId="0" fontId="0" fillId="19" borderId="54" applyAlignment="1" pivotButton="0" quotePrefix="0" xfId="0">
      <alignment horizontal="center" vertical="center" wrapText="1"/>
    </xf>
    <xf numFmtId="0" fontId="0" fillId="19" borderId="51" applyAlignment="1" pivotButton="0" quotePrefix="0" xfId="0">
      <alignment horizontal="center" vertical="center"/>
    </xf>
    <xf numFmtId="0" fontId="0" fillId="20" borderId="17" applyAlignment="1" pivotButton="0" quotePrefix="0" xfId="0">
      <alignment horizontal="center" vertical="center" wrapText="1"/>
    </xf>
    <xf numFmtId="14" fontId="0" fillId="0" borderId="0" applyAlignment="1" pivotButton="0" quotePrefix="1" xfId="0">
      <alignment horizontal="left" vertical="top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wrapText="1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9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/>
    </xf>
    <xf numFmtId="0" fontId="9" fillId="0" borderId="35" applyAlignment="1" pivotButton="0" quotePrefix="0" xfId="0">
      <alignment horizontal="left" vertical="top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64" applyAlignment="1" pivotButton="0" quotePrefix="0" xfId="0">
      <alignment horizont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5" fillId="9" borderId="18" applyAlignment="1" pivotButton="0" quotePrefix="0" xfId="0">
      <alignment horizontal="center" vertical="center"/>
    </xf>
    <xf numFmtId="0" fontId="28" fillId="13" borderId="0" applyAlignment="1" pivotButton="0" quotePrefix="0" xfId="0">
      <alignment horizontal="center" vertical="center"/>
    </xf>
    <xf numFmtId="0" fontId="28" fillId="1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27" pivotButton="0" quotePrefix="0" xfId="0"/>
    <xf numFmtId="0" fontId="10" fillId="8" borderId="66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16" pivotButton="0" quotePrefix="0" xfId="0"/>
    <xf numFmtId="0" fontId="15" fillId="9" borderId="17" applyAlignment="1" pivotButton="0" quotePrefix="0" xfId="0">
      <alignment horizontal="center" vertical="center"/>
    </xf>
    <xf numFmtId="0" fontId="10" fillId="0" borderId="70" applyAlignment="1" pivotButton="0" quotePrefix="0" xfId="0">
      <alignment horizontal="center" wrapText="1"/>
    </xf>
    <xf numFmtId="0" fontId="0" fillId="0" borderId="49" pivotButton="0" quotePrefix="0" xfId="0"/>
    <xf numFmtId="0" fontId="0" fillId="0" borderId="42" pivotButton="0" quotePrefix="0" xfId="0"/>
    <xf numFmtId="0" fontId="0" fillId="0" borderId="43" pivotButton="0" quotePrefix="0" xfId="0"/>
    <xf numFmtId="164" fontId="10" fillId="0" borderId="69" applyAlignment="1" pivotButton="0" quotePrefix="0" xfId="0">
      <alignment horizontal="center"/>
    </xf>
    <xf numFmtId="0" fontId="0" fillId="0" borderId="36" pivotButton="0" quotePrefix="0" xfId="0"/>
    <xf numFmtId="0" fontId="0" fillId="0" borderId="37" pivotButton="0" quotePrefix="0" xfId="0"/>
    <xf numFmtId="164" fontId="10" fillId="0" borderId="72" applyAlignment="1" pivotButton="0" quotePrefix="0" xfId="0">
      <alignment horizontal="center"/>
    </xf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1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 outline="0"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4</col>
      <colOff>260252</colOff>
      <row>4</row>
      <rowOff>36927</rowOff>
    </from>
    <to>
      <col>11</col>
      <colOff>4038</colOff>
      <row>4</row>
      <rowOff>483870</rowOff>
    </to>
    <pic>
      <nvPicPr>
        <cNvPr id="5" name="Immagin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6315" b="25208"/>
        <a:stretch xmlns:a="http://schemas.openxmlformats.org/drawingml/2006/main">
          <a:fillRect/>
        </a:stretch>
      </blipFill>
      <spPr>
        <a:xfrm xmlns:a="http://schemas.openxmlformats.org/drawingml/2006/main">
          <a:off x="3948332" y="806547"/>
          <a:ext cx="1273501" cy="4469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754673</colOff>
      <row>28</row>
      <rowOff>21981</rowOff>
    </from>
    <to>
      <col>8</col>
      <colOff>98409</colOff>
      <row>28</row>
      <rowOff>474639</rowOff>
    </to>
    <pic>
      <nvPicPr>
        <cNvPr id="6" name="Immagine 5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t="16315" b="25208"/>
        <a:stretch xmlns:a="http://schemas.openxmlformats.org/drawingml/2006/main">
          <a:fillRect/>
        </a:stretch>
      </blipFill>
      <spPr>
        <a:xfrm xmlns:a="http://schemas.openxmlformats.org/drawingml/2006/main">
          <a:off x="3343568" y="6523746"/>
          <a:ext cx="1294456" cy="4602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740019</colOff>
      <row>55</row>
      <rowOff>21980</rowOff>
    </from>
    <to>
      <col>8</col>
      <colOff>60895</colOff>
      <row>55</row>
      <rowOff>474638</rowOff>
    </to>
    <pic>
      <nvPicPr>
        <cNvPr id="7" name="Immagine 6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3"/>
        <a:srcRect xmlns:a="http://schemas.openxmlformats.org/drawingml/2006/main" t="16315" b="25208"/>
        <a:stretch xmlns:a="http://schemas.openxmlformats.org/drawingml/2006/main">
          <a:fillRect/>
        </a:stretch>
      </blipFill>
      <spPr>
        <a:xfrm xmlns:a="http://schemas.openxmlformats.org/drawingml/2006/main">
          <a:off x="3334629" y="13210295"/>
          <a:ext cx="1265881" cy="4602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7">
    <outlinePr summaryBelow="1" summaryRight="1"/>
    <pageSetUpPr/>
  </sheetPr>
  <dimension ref="B4:Z71"/>
  <sheetViews>
    <sheetView workbookViewId="0">
      <selection activeCell="E4" sqref="E4:L4"/>
    </sheetView>
  </sheetViews>
  <sheetFormatPr baseColWidth="8" defaultRowHeight="15"/>
  <cols>
    <col width="8.7109375" customWidth="1" min="1" max="1"/>
    <col width="3.5703125" customWidth="1" min="2" max="2"/>
    <col width="25.5703125" customWidth="1" min="3" max="3"/>
    <col width="16" bestFit="1" customWidth="1" min="4" max="4"/>
    <col collapsed="1" width="7.42578125" customWidth="1" min="5" max="5"/>
    <col hidden="1" outlineLevel="1" width="4.7109375" customWidth="1" min="6" max="7"/>
    <col collapsed="1" width="5" customWidth="1" min="8" max="9"/>
    <col hidden="1" outlineLevel="1" width="5" customWidth="1" min="10" max="10"/>
    <col collapsed="1" width="5" customWidth="1" min="11" max="11"/>
    <col width="5" customWidth="1" min="12" max="12"/>
    <col collapsed="1" width="5" customWidth="1" min="13" max="13"/>
    <col hidden="1" outlineLevel="1" width="5" customWidth="1" min="14" max="14"/>
    <col collapsed="1" width="5" customWidth="1" min="15" max="15"/>
    <col width="5" customWidth="1" min="16" max="16"/>
    <col collapsed="1" width="5" customWidth="1" min="17" max="17"/>
    <col hidden="1" outlineLevel="1" width="5" customWidth="1" min="18" max="18"/>
    <col collapsed="1" width="5" customWidth="1" min="19" max="19"/>
    <col width="5" customWidth="1" min="20" max="20"/>
    <col collapsed="1" width="5" customWidth="1" min="21" max="21"/>
    <col hidden="1" outlineLevel="1" width="5" customWidth="1" min="22" max="22"/>
    <col collapsed="1" width="5" customWidth="1" min="23" max="23"/>
    <col width="3.7109375" customWidth="1" min="24" max="24"/>
    <col width="4.7109375" customWidth="1" min="25" max="26"/>
  </cols>
  <sheetData>
    <row r="4" ht="17.45" customHeight="1" thickBot="1">
      <c r="B4" s="337" t="inlineStr">
        <is>
          <t>WEEK 1-4</t>
        </is>
      </c>
      <c r="C4" s="9" t="n"/>
      <c r="E4" s="326" t="inlineStr">
        <is>
          <t>AUTUNNO 2023</t>
        </is>
      </c>
      <c r="F4" s="9" t="n"/>
      <c r="G4" s="9" t="n"/>
      <c r="H4" s="9" t="n"/>
      <c r="I4" s="9" t="n"/>
      <c r="J4" s="9" t="n"/>
      <c r="K4" s="9" t="n"/>
      <c r="L4" s="9" t="n"/>
      <c r="N4" s="28" t="n"/>
      <c r="O4" s="28" t="n"/>
      <c r="P4" s="28" t="n"/>
      <c r="R4" s="28" t="n"/>
      <c r="S4" s="28" t="n"/>
      <c r="T4" s="28" t="n"/>
      <c r="U4" s="28" t="n"/>
      <c r="V4" s="28" t="n"/>
      <c r="W4" s="28" t="n"/>
      <c r="X4" s="338" t="inlineStr">
        <is>
          <t>SAMUELE MALAVASI</t>
        </is>
      </c>
      <c r="Y4" s="45" t="n"/>
      <c r="Z4" s="45" t="n"/>
    </row>
    <row r="5" ht="40.15" customHeight="1" thickBot="1" thickTop="1">
      <c r="B5" s="317" t="n"/>
      <c r="C5" s="360" t="n"/>
      <c r="D5" s="360" t="n"/>
      <c r="E5" s="360" t="n"/>
      <c r="F5" s="360" t="n"/>
      <c r="G5" s="360" t="n"/>
      <c r="H5" s="360" t="n"/>
      <c r="I5" s="360" t="n"/>
      <c r="J5" s="360" t="n"/>
      <c r="K5" s="360" t="n"/>
      <c r="L5" s="360" t="n"/>
      <c r="M5" s="360" t="n"/>
      <c r="N5" s="360" t="n"/>
      <c r="O5" s="360" t="n"/>
      <c r="P5" s="360" t="n"/>
      <c r="Q5" s="360" t="n"/>
      <c r="R5" s="109" t="n"/>
      <c r="S5" s="26" t="n"/>
      <c r="U5" s="182" t="n"/>
      <c r="V5" s="182" t="n"/>
      <c r="W5" s="182" t="n"/>
      <c r="X5" s="339" t="inlineStr">
        <is>
          <t xml:space="preserve">S M </t>
        </is>
      </c>
      <c r="Y5" s="184" t="n"/>
      <c r="Z5" s="45" t="n"/>
    </row>
    <row r="6" ht="21" customHeight="1" thickBot="1" thickTop="1">
      <c r="B6" s="361" t="inlineStr">
        <is>
          <t>DATA_PAN</t>
        </is>
      </c>
      <c r="C6" s="360" t="n"/>
      <c r="D6" s="360" t="n"/>
      <c r="E6" s="360" t="n"/>
      <c r="F6" s="360" t="n"/>
      <c r="G6" s="360" t="n"/>
      <c r="H6" s="360" t="n"/>
      <c r="I6" s="360" t="n"/>
      <c r="J6" s="360" t="n"/>
      <c r="K6" s="360" t="n"/>
      <c r="L6" s="360" t="n"/>
      <c r="M6" s="360" t="n"/>
      <c r="N6" s="360" t="n"/>
      <c r="O6" s="360" t="n"/>
      <c r="P6" s="360" t="n"/>
      <c r="Q6" s="360" t="n"/>
      <c r="R6" s="360" t="n"/>
      <c r="S6" s="360" t="n"/>
      <c r="T6" s="360" t="n"/>
      <c r="U6" s="360" t="n"/>
      <c r="V6" s="360" t="n"/>
      <c r="W6" s="360" t="n"/>
      <c r="X6" s="362" t="n"/>
      <c r="Y6" s="45" t="n"/>
      <c r="Z6" s="45" t="n"/>
    </row>
    <row r="7" ht="15.75" customHeight="1" thickTop="1">
      <c r="B7" s="29" t="n"/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1" t="n"/>
    </row>
    <row r="8" ht="16.5" customHeight="1">
      <c r="B8" s="32" t="n"/>
      <c r="C8" s="46" t="n"/>
      <c r="D8" s="46" t="n"/>
      <c r="E8" s="46" t="n"/>
      <c r="F8" s="47" t="n"/>
      <c r="G8" s="47" t="n"/>
      <c r="H8" s="352" t="inlineStr">
        <is>
          <t>Wk 1</t>
        </is>
      </c>
      <c r="K8" s="363" t="n"/>
      <c r="L8" s="364" t="inlineStr">
        <is>
          <t>Wk 2</t>
        </is>
      </c>
      <c r="O8" s="363" t="n"/>
      <c r="P8" s="364" t="inlineStr">
        <is>
          <t>Wk 3</t>
        </is>
      </c>
      <c r="S8" s="363" t="n"/>
      <c r="T8" s="353" t="inlineStr">
        <is>
          <t>Wk 4</t>
        </is>
      </c>
      <c r="X8" s="48" t="n"/>
      <c r="Y8" s="12" t="n"/>
      <c r="Z8" s="12" t="n"/>
    </row>
    <row r="9" ht="16.5" customHeight="1">
      <c r="B9" s="32" t="n"/>
      <c r="C9" s="342" t="inlineStr">
        <is>
          <t>Sequenza</t>
        </is>
      </c>
      <c r="D9" s="363" t="n"/>
      <c r="E9" s="49" t="inlineStr">
        <is>
          <t>%1RM</t>
        </is>
      </c>
      <c r="F9" s="49" t="inlineStr">
        <is>
          <t>Nm</t>
        </is>
      </c>
      <c r="G9" s="49" t="inlineStr">
        <is>
          <t>Nr</t>
        </is>
      </c>
      <c r="H9" s="50" t="inlineStr">
        <is>
          <t>S</t>
        </is>
      </c>
      <c r="I9" s="51" t="inlineStr">
        <is>
          <t>R</t>
        </is>
      </c>
      <c r="J9" s="51" t="inlineStr">
        <is>
          <t>TotR</t>
        </is>
      </c>
      <c r="K9" s="51" t="inlineStr">
        <is>
          <t>Esito</t>
        </is>
      </c>
      <c r="L9" s="50" t="inlineStr">
        <is>
          <t>S</t>
        </is>
      </c>
      <c r="M9" s="52" t="inlineStr">
        <is>
          <t>R</t>
        </is>
      </c>
      <c r="N9" s="51" t="inlineStr">
        <is>
          <t>TotR</t>
        </is>
      </c>
      <c r="O9" s="51" t="inlineStr">
        <is>
          <t>Esito</t>
        </is>
      </c>
      <c r="P9" s="50" t="inlineStr">
        <is>
          <t>S</t>
        </is>
      </c>
      <c r="Q9" s="52" t="inlineStr">
        <is>
          <t>R</t>
        </is>
      </c>
      <c r="R9" s="53" t="inlineStr">
        <is>
          <t>TotR</t>
        </is>
      </c>
      <c r="S9" s="51" t="inlineStr">
        <is>
          <t>Esito</t>
        </is>
      </c>
      <c r="T9" s="50" t="inlineStr">
        <is>
          <t>S</t>
        </is>
      </c>
      <c r="U9" s="52" t="inlineStr">
        <is>
          <t>R</t>
        </is>
      </c>
      <c r="V9" s="53" t="inlineStr">
        <is>
          <t>TotR</t>
        </is>
      </c>
      <c r="W9" s="51" t="inlineStr">
        <is>
          <t>Esito</t>
        </is>
      </c>
      <c r="X9" s="36" t="n"/>
    </row>
    <row r="10" ht="16.5" customHeight="1">
      <c r="B10" s="32" t="n"/>
      <c r="C10" s="111" t="inlineStr">
        <is>
          <t>GIORNO 1</t>
        </is>
      </c>
      <c r="D10" s="54" t="n"/>
      <c r="E10" s="55" t="n"/>
      <c r="F10" s="55" t="n"/>
      <c r="G10" s="55" t="n"/>
      <c r="H10" s="56" t="n"/>
      <c r="I10" s="56" t="n"/>
      <c r="J10" s="56" t="n"/>
      <c r="K10" s="56" t="n"/>
      <c r="L10" s="56" t="n"/>
      <c r="M10" s="57" t="n"/>
      <c r="N10" s="56" t="n"/>
      <c r="O10" s="56" t="n"/>
      <c r="P10" s="56" t="n"/>
      <c r="Q10" s="57" t="n"/>
      <c r="R10" s="58" t="n"/>
      <c r="S10" s="58" t="n"/>
      <c r="T10" s="56" t="n"/>
      <c r="U10" s="57" t="n"/>
      <c r="V10" s="58" t="n"/>
      <c r="W10" s="58" t="n"/>
      <c r="X10" s="36" t="n"/>
    </row>
    <row r="11" ht="16.5" customHeight="1">
      <c r="B11" s="32" t="n"/>
      <c r="C11" s="153" t="n"/>
      <c r="D11" s="99" t="n"/>
      <c r="E11" s="93">
        <f>IFERROR((INDEX(PanScale!$B$4:$N$13,MATCH(F11,PanScale!$B$4:$B$13,0),MATCH(G11,PanScale!$B$4:$N$4,0))),0%)</f>
        <v/>
      </c>
      <c r="F11" s="59" t="n"/>
      <c r="G11" s="59" t="n"/>
      <c r="H11" s="59" t="n"/>
      <c r="I11" s="60" t="n"/>
      <c r="J11" s="226">
        <f>PRODUCT($F11*H11*I11)</f>
        <v/>
      </c>
      <c r="K11" s="70" t="n"/>
      <c r="L11" s="59" t="n"/>
      <c r="M11" s="60" t="n"/>
      <c r="N11" s="226">
        <f>PRODUCT($F11*L11*M11)</f>
        <v/>
      </c>
      <c r="O11" s="70" t="n"/>
      <c r="P11" s="59" t="n"/>
      <c r="Q11" s="60" t="n"/>
      <c r="R11" s="226">
        <f>PRODUCT($F11*P11*Q11)</f>
        <v/>
      </c>
      <c r="S11" s="70" t="n"/>
      <c r="T11" s="59" t="n"/>
      <c r="U11" s="60" t="n"/>
      <c r="V11" s="226">
        <f>PRODUCT($F11*T11*U11)</f>
        <v/>
      </c>
      <c r="W11" s="70" t="n"/>
      <c r="X11" s="36" t="n"/>
    </row>
    <row r="12" ht="16.5" customHeight="1">
      <c r="B12" s="32" t="n"/>
      <c r="C12" s="154" t="n"/>
      <c r="D12" s="155" t="n"/>
      <c r="E12" s="156">
        <f>IFERROR((INDEX(PanScale!$B$4:$N$13,MATCH(F12,PanScale!$B$4:$B$13,0),MATCH(G12,PanScale!$B$4:$N$4,0))),0%)</f>
        <v/>
      </c>
      <c r="F12" s="157" t="n"/>
      <c r="G12" s="157" t="n"/>
      <c r="H12" s="157" t="n"/>
      <c r="I12" s="158" t="n"/>
      <c r="J12" s="159">
        <f>PRODUCT($F12*H12*I12)</f>
        <v/>
      </c>
      <c r="K12" s="225" t="n"/>
      <c r="L12" s="227" t="n"/>
      <c r="M12" s="158" t="n"/>
      <c r="N12" s="225">
        <f>PRODUCT($F12*L12*M12)</f>
        <v/>
      </c>
      <c r="O12" s="159" t="n"/>
      <c r="P12" s="157" t="n"/>
      <c r="Q12" s="158" t="n"/>
      <c r="R12" s="225">
        <f>PRODUCT($F12*P12*Q12)</f>
        <v/>
      </c>
      <c r="S12" s="159" t="n"/>
      <c r="T12" s="157" t="n"/>
      <c r="U12" s="158" t="n"/>
      <c r="V12" s="225">
        <f>PRODUCT($F12*T12*U12)</f>
        <v/>
      </c>
      <c r="W12" s="159" t="n"/>
      <c r="X12" s="36" t="n"/>
    </row>
    <row r="13" ht="16.5" customHeight="1">
      <c r="B13" s="32" t="n"/>
      <c r="C13" s="100" t="n"/>
      <c r="D13" s="101" t="n"/>
      <c r="E13" s="152">
        <f>IFERROR((INDEX(PanScale!$B$4:$N$13,MATCH(F13,PanScale!$B$4:$B$13,0),MATCH(G13,PanScale!$B$4:$N$4,0))),0%)</f>
        <v/>
      </c>
      <c r="F13" s="62" t="n"/>
      <c r="G13" s="62" t="n"/>
      <c r="H13" s="62" t="n"/>
      <c r="I13" s="69" t="n"/>
      <c r="J13" s="61">
        <f>PRODUCT($F13*H13*I13)</f>
        <v/>
      </c>
      <c r="K13" s="71" t="n"/>
      <c r="L13" s="62" t="n"/>
      <c r="M13" s="69" t="n"/>
      <c r="N13" s="61">
        <f>PRODUCT($F13*L13*M13)</f>
        <v/>
      </c>
      <c r="O13" s="71" t="n"/>
      <c r="P13" s="62" t="n"/>
      <c r="Q13" s="69" t="n"/>
      <c r="R13" s="61">
        <f>PRODUCT($F13*P13*Q13)</f>
        <v/>
      </c>
      <c r="S13" s="71" t="n"/>
      <c r="T13" s="62" t="n"/>
      <c r="U13" s="69" t="n"/>
      <c r="V13" s="61">
        <f>PRODUCT($F13*T13*U13)</f>
        <v/>
      </c>
      <c r="W13" s="71" t="n"/>
      <c r="X13" s="36" t="n"/>
    </row>
    <row r="14" ht="15" customHeight="1">
      <c r="B14" s="32" t="n"/>
      <c r="C14" s="100" t="n"/>
      <c r="D14" s="101" t="n"/>
      <c r="E14" s="47" t="n"/>
      <c r="F14" s="61" t="n"/>
      <c r="G14" s="61" t="n"/>
      <c r="H14" s="61" t="n"/>
      <c r="I14" s="61" t="n"/>
      <c r="J14" s="62" t="n"/>
      <c r="K14" s="61" t="n"/>
      <c r="L14" s="61" t="n"/>
      <c r="M14" s="61" t="n"/>
      <c r="N14" s="62" t="n"/>
      <c r="O14" s="61" t="n"/>
      <c r="P14" s="61" t="n"/>
      <c r="Q14" s="61" t="n"/>
      <c r="R14" s="62" t="n"/>
      <c r="S14" s="61" t="n"/>
      <c r="T14" s="61" t="n"/>
      <c r="U14" s="61" t="n"/>
      <c r="V14" s="62" t="n"/>
      <c r="W14" s="61" t="n"/>
      <c r="X14" s="36" t="n"/>
      <c r="Y14" s="12" t="n"/>
      <c r="Z14" s="12" t="n"/>
    </row>
    <row r="15" ht="15" customHeight="1">
      <c r="B15" s="32" t="n"/>
      <c r="C15" s="100" t="n"/>
      <c r="D15" s="100" t="n"/>
      <c r="E15" s="47" t="n"/>
      <c r="F15" s="61" t="n"/>
      <c r="G15" s="61" t="n"/>
      <c r="H15" s="61" t="n"/>
      <c r="I15" s="61" t="n"/>
      <c r="J15" s="61" t="n"/>
      <c r="K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  <c r="U15" s="61" t="n"/>
      <c r="V15" s="61" t="n"/>
      <c r="W15" s="61" t="n"/>
      <c r="X15" s="36" t="n"/>
      <c r="Y15" s="12" t="n"/>
      <c r="Z15" s="12" t="n"/>
    </row>
    <row r="16" ht="17.25" customHeight="1" thickBot="1">
      <c r="B16" s="32" t="n"/>
      <c r="C16" s="26" t="n"/>
      <c r="D16" s="63" t="inlineStr">
        <is>
          <t>Recupero:</t>
        </is>
      </c>
      <c r="E16" s="63" t="n"/>
      <c r="F16" s="63" t="n"/>
      <c r="G16" s="63" t="n"/>
      <c r="H16" s="365" t="n"/>
      <c r="I16" s="9" t="n"/>
      <c r="J16" s="9" t="n"/>
      <c r="K16" s="366" t="n"/>
      <c r="L16" s="365" t="n"/>
      <c r="M16" s="9" t="n"/>
      <c r="N16" s="9" t="n"/>
      <c r="O16" s="366" t="n"/>
      <c r="P16" s="365" t="n"/>
      <c r="Q16" s="9" t="n"/>
      <c r="R16" s="9" t="n"/>
      <c r="S16" s="366" t="n"/>
      <c r="T16" s="365" t="n"/>
      <c r="U16" s="9" t="n"/>
      <c r="V16" s="9" t="n"/>
      <c r="W16" s="366" t="n"/>
      <c r="X16" s="48" t="n"/>
      <c r="Y16" s="42" t="n"/>
    </row>
    <row r="17" ht="17.25" customHeight="1" thickTop="1">
      <c r="B17" s="32" t="n"/>
      <c r="C17" s="26" t="n"/>
      <c r="D17" s="64" t="inlineStr">
        <is>
          <t>Volume totale :</t>
        </is>
      </c>
      <c r="E17" s="63" t="n"/>
      <c r="F17" s="63" t="n"/>
      <c r="G17" s="63" t="n"/>
      <c r="H17" s="336">
        <f>SUMPRODUCT(($F11:$F13*H11:H13)*I11:I13)</f>
        <v/>
      </c>
      <c r="I17" s="367" t="n"/>
      <c r="J17" s="367" t="n"/>
      <c r="K17" s="368" t="n"/>
      <c r="L17" s="336">
        <f>SUMPRODUCT(($F11:$F13*L11:L13)*M11:M13)</f>
        <v/>
      </c>
      <c r="M17" s="367" t="n"/>
      <c r="N17" s="367" t="n"/>
      <c r="O17" s="368" t="n"/>
      <c r="P17" s="336">
        <f>SUMPRODUCT(($F11:$F13*P11:P13)*Q11:Q13)</f>
        <v/>
      </c>
      <c r="Q17" s="367" t="n"/>
      <c r="R17" s="367" t="n"/>
      <c r="S17" s="368" t="n"/>
      <c r="T17" s="369">
        <f>SUMPRODUCT(($F11:$F13*T11:T13)*U11:U13)</f>
        <v/>
      </c>
      <c r="U17" s="367" t="n"/>
      <c r="V17" s="367" t="n"/>
      <c r="W17" s="368" t="n"/>
      <c r="X17" s="48" t="n"/>
      <c r="Y17" s="42" t="n"/>
    </row>
    <row r="18" ht="17.25" customHeight="1" thickBot="1">
      <c r="B18" s="32" t="n"/>
      <c r="C18" s="26" t="n"/>
      <c r="D18" s="64" t="inlineStr">
        <is>
          <t>Intensità totale :</t>
        </is>
      </c>
      <c r="E18" s="63" t="n"/>
      <c r="F18" s="63" t="n"/>
      <c r="G18" s="63" t="n"/>
      <c r="H18" s="349">
        <f>IFERROR(SUMPRODUCT($E11:$E13,J11:J13)/SUM(J11:J13),"")</f>
        <v/>
      </c>
      <c r="I18" s="370" t="n"/>
      <c r="J18" s="370" t="n"/>
      <c r="K18" s="371" t="n"/>
      <c r="L18" s="349">
        <f>IFERROR(SUMPRODUCT($E11:$E13,N11:N13)/SUM(N11:N13),"")</f>
        <v/>
      </c>
      <c r="M18" s="370" t="n"/>
      <c r="N18" s="370" t="n"/>
      <c r="O18" s="371" t="n"/>
      <c r="P18" s="349">
        <f>IFERROR(SUMPRODUCT($E11:$E13,R11:R13)/SUM(R11:R13),"")</f>
        <v/>
      </c>
      <c r="Q18" s="370" t="n"/>
      <c r="R18" s="370" t="n"/>
      <c r="S18" s="371" t="n"/>
      <c r="T18" s="372">
        <f>IFERROR(SUMPRODUCT($E11:$E13,V11:V13)/SUM(V11:V13),"")</f>
        <v/>
      </c>
      <c r="U18" s="370" t="n"/>
      <c r="V18" s="370" t="n"/>
      <c r="W18" s="371" t="n"/>
      <c r="X18" s="48" t="n"/>
      <c r="Y18" s="42" t="n"/>
    </row>
    <row r="19" ht="14.45" customHeight="1">
      <c r="B19" s="32" t="n"/>
      <c r="C19" s="65" t="n"/>
      <c r="D19" s="65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5" t="n"/>
      <c r="O19" s="65" t="n"/>
      <c r="P19" s="65" t="n"/>
      <c r="Q19" s="65" t="n"/>
      <c r="R19" s="40" t="n"/>
      <c r="S19" s="40" t="n"/>
      <c r="T19" s="40" t="n"/>
      <c r="U19" s="40" t="n"/>
      <c r="V19" s="40" t="n"/>
      <c r="W19" s="40" t="n"/>
      <c r="X19" s="40" t="n"/>
      <c r="Y19" s="110" t="n"/>
    </row>
    <row r="20" ht="78.59999999999999" customHeight="1">
      <c r="B20" s="32" t="n"/>
      <c r="C20" s="344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20" s="344" t="n"/>
      <c r="X20" s="41" t="n"/>
      <c r="Y20" s="42" t="n"/>
    </row>
    <row r="21" ht="16.5" customHeight="1" thickBot="1">
      <c r="B21" s="66" t="n"/>
      <c r="C21" s="345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67" t="n"/>
      <c r="S21" s="67" t="n"/>
      <c r="T21" s="347" t="n">
        <v>45447</v>
      </c>
      <c r="U21" s="9" t="n"/>
      <c r="V21" s="9" t="n"/>
      <c r="W21" s="9" t="n"/>
      <c r="X21" s="373" t="n"/>
      <c r="Y21" s="42" t="n"/>
    </row>
    <row r="22" ht="15.75" customHeight="1" thickTop="1">
      <c r="C22" s="40" t="n"/>
      <c r="D22" s="40" t="n"/>
      <c r="E22" s="40" t="n"/>
      <c r="F22" s="40" t="n"/>
      <c r="G22" s="40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2" t="n"/>
      <c r="S22" s="42" t="n"/>
      <c r="T22" s="42" t="n"/>
      <c r="U22" s="42" t="n"/>
      <c r="V22" s="42" t="n"/>
      <c r="W22" s="42" t="n"/>
      <c r="X22" s="42" t="n"/>
      <c r="Y22" s="42" t="n"/>
    </row>
    <row r="23">
      <c r="C23" s="40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2" t="n"/>
      <c r="S23" s="42" t="n"/>
      <c r="T23" s="42" t="n"/>
      <c r="U23" s="42" t="n"/>
      <c r="V23" s="42" t="n"/>
      <c r="W23" s="42" t="n"/>
      <c r="X23" s="42" t="n"/>
      <c r="Y23" s="42" t="n"/>
    </row>
    <row r="24">
      <c r="C24" s="40" t="n"/>
      <c r="D24" s="40" t="n"/>
      <c r="E24" s="40" t="n"/>
      <c r="F24" s="40" t="n"/>
      <c r="G24" s="40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2" t="n"/>
      <c r="S24" s="42" t="n"/>
      <c r="T24" s="42" t="n"/>
      <c r="U24" s="42" t="n"/>
      <c r="V24" s="42" t="n"/>
      <c r="W24" s="42" t="n"/>
      <c r="X24" s="42" t="n"/>
      <c r="Y24" s="42" t="n"/>
    </row>
    <row r="25"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2" t="n"/>
      <c r="S25" s="42" t="n"/>
      <c r="T25" s="42" t="n"/>
      <c r="U25" s="42" t="n"/>
      <c r="V25" s="42" t="n"/>
      <c r="W25" s="42" t="n"/>
      <c r="X25" s="42" t="n"/>
      <c r="Y25" s="42" t="n"/>
    </row>
    <row r="26">
      <c r="C26" s="40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2" t="n"/>
      <c r="S26" s="42" t="n"/>
      <c r="T26" s="42" t="n"/>
      <c r="U26" s="42" t="n"/>
      <c r="V26" s="42" t="n"/>
      <c r="W26" s="42" t="n"/>
      <c r="X26" s="42" t="n"/>
      <c r="Y26" s="42" t="n"/>
    </row>
    <row r="27"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2" t="n"/>
      <c r="S27" s="42" t="n"/>
      <c r="T27" s="42" t="n"/>
      <c r="U27" s="42" t="n"/>
      <c r="V27" s="42" t="n"/>
      <c r="W27" s="42" t="n"/>
      <c r="X27" s="42" t="n"/>
      <c r="Y27" s="42" t="n"/>
    </row>
    <row r="28" ht="14.45" customHeight="1" thickBot="1">
      <c r="B28" s="337" t="inlineStr">
        <is>
          <t>WEEK 5-8</t>
        </is>
      </c>
      <c r="C28" s="9" t="n"/>
      <c r="E28" s="326">
        <f>#REF!</f>
        <v/>
      </c>
      <c r="F28" s="326" t="inlineStr">
        <is>
          <t>STAGIONE ANNO</t>
        </is>
      </c>
      <c r="G28" s="326" t="n"/>
      <c r="H28" s="28" t="n"/>
      <c r="I28" s="28" t="n"/>
      <c r="J28" s="27" t="n"/>
      <c r="K28" s="27" t="n"/>
      <c r="L28" s="27" t="n"/>
      <c r="M28" s="338">
        <f>$X$4</f>
        <v/>
      </c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68" t="n"/>
    </row>
    <row r="29" ht="40.15" customHeight="1" thickBot="1" thickTop="1">
      <c r="B29" s="317" t="n"/>
      <c r="C29" s="360" t="n"/>
      <c r="D29" s="360" t="n"/>
      <c r="E29" s="360" t="n"/>
      <c r="F29" s="360" t="n"/>
      <c r="G29" s="360" t="n"/>
      <c r="H29" s="360" t="n"/>
      <c r="I29" s="360" t="n"/>
      <c r="J29" s="360" t="n"/>
      <c r="K29" s="360" t="n"/>
      <c r="L29" s="360" t="n"/>
      <c r="M29" s="360" t="n"/>
      <c r="N29" s="360" t="n"/>
      <c r="O29" s="360" t="n"/>
      <c r="P29" s="360" t="n"/>
      <c r="Q29" s="360" t="n"/>
      <c r="R29" s="109" t="n"/>
      <c r="S29" s="109" t="n"/>
      <c r="T29" s="340">
        <f>$X$5</f>
        <v/>
      </c>
      <c r="U29" s="360" t="n"/>
      <c r="V29" s="360" t="n"/>
      <c r="W29" s="360" t="n"/>
      <c r="X29" s="362" t="n"/>
      <c r="Y29" s="68" t="n"/>
    </row>
    <row r="30" ht="18" customHeight="1" thickBot="1" thickTop="1">
      <c r="B30" s="179" t="n"/>
      <c r="C30" s="180" t="n"/>
      <c r="D30" s="180" t="n"/>
      <c r="E30" s="312">
        <f>$B$6</f>
        <v/>
      </c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0" t="n"/>
      <c r="P30" s="180" t="n"/>
      <c r="Q30" s="180" t="n"/>
      <c r="R30" s="180" t="n"/>
      <c r="S30" s="180" t="n"/>
      <c r="T30" s="180" t="n"/>
      <c r="U30" s="180" t="n"/>
      <c r="V30" s="180" t="n"/>
      <c r="W30" s="180" t="n"/>
      <c r="X30" s="181" t="n"/>
    </row>
    <row r="31" ht="15.6" customHeight="1" thickTop="1">
      <c r="B31" s="29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1" t="n"/>
    </row>
    <row r="32" ht="16.5" customHeight="1">
      <c r="B32" s="32" t="n"/>
      <c r="C32" s="46" t="n"/>
      <c r="D32" s="46" t="n"/>
      <c r="E32" s="46" t="n"/>
      <c r="F32" s="47" t="n"/>
      <c r="G32" s="47" t="n"/>
      <c r="H32" s="352" t="inlineStr">
        <is>
          <t>Wk 5</t>
        </is>
      </c>
      <c r="K32" s="363" t="n"/>
      <c r="L32" s="364" t="inlineStr">
        <is>
          <t>Wk 6</t>
        </is>
      </c>
      <c r="O32" s="363" t="n"/>
      <c r="P32" s="364" t="inlineStr">
        <is>
          <t>Wk 7</t>
        </is>
      </c>
      <c r="S32" s="363" t="n"/>
      <c r="T32" s="353" t="inlineStr">
        <is>
          <t>Wk 8</t>
        </is>
      </c>
      <c r="X32" s="48" t="n"/>
    </row>
    <row r="33" ht="16.5" customHeight="1">
      <c r="B33" s="32" t="n"/>
      <c r="C33" s="342" t="inlineStr">
        <is>
          <t>Sequenza</t>
        </is>
      </c>
      <c r="D33" s="363" t="n"/>
      <c r="E33" s="49" t="inlineStr">
        <is>
          <t>%1RM</t>
        </is>
      </c>
      <c r="F33" s="49" t="inlineStr">
        <is>
          <t>Nm</t>
        </is>
      </c>
      <c r="G33" s="49" t="inlineStr">
        <is>
          <t>Nr</t>
        </is>
      </c>
      <c r="H33" s="50" t="inlineStr">
        <is>
          <t>S</t>
        </is>
      </c>
      <c r="I33" s="51" t="inlineStr">
        <is>
          <t>R</t>
        </is>
      </c>
      <c r="J33" s="51" t="inlineStr">
        <is>
          <t>TotR</t>
        </is>
      </c>
      <c r="K33" s="51" t="n"/>
      <c r="L33" s="50" t="inlineStr">
        <is>
          <t>S</t>
        </is>
      </c>
      <c r="M33" s="52" t="inlineStr">
        <is>
          <t>R</t>
        </is>
      </c>
      <c r="N33" s="51" t="inlineStr">
        <is>
          <t>TotR</t>
        </is>
      </c>
      <c r="O33" s="51" t="n"/>
      <c r="P33" s="50" t="inlineStr">
        <is>
          <t>S</t>
        </is>
      </c>
      <c r="Q33" s="52" t="inlineStr">
        <is>
          <t>R</t>
        </is>
      </c>
      <c r="R33" s="53" t="inlineStr">
        <is>
          <t>TotR</t>
        </is>
      </c>
      <c r="S33" s="51" t="n"/>
      <c r="T33" s="50" t="inlineStr">
        <is>
          <t>S</t>
        </is>
      </c>
      <c r="U33" s="52" t="inlineStr">
        <is>
          <t>R</t>
        </is>
      </c>
      <c r="V33" s="53" t="inlineStr">
        <is>
          <t>TotR</t>
        </is>
      </c>
      <c r="W33" s="51" t="n"/>
      <c r="X33" s="36" t="n"/>
    </row>
    <row r="34" ht="16.5" customHeight="1">
      <c r="B34" s="32" t="n"/>
      <c r="C34" s="111" t="inlineStr">
        <is>
          <t>GIORNO 1</t>
        </is>
      </c>
      <c r="D34" s="54" t="n"/>
      <c r="E34" s="55" t="n"/>
      <c r="F34" s="55" t="n"/>
      <c r="G34" s="55" t="n"/>
      <c r="H34" s="56" t="n"/>
      <c r="I34" s="56" t="n"/>
      <c r="J34" s="56" t="n"/>
      <c r="K34" s="56" t="n"/>
      <c r="L34" s="56" t="n"/>
      <c r="M34" s="57" t="n"/>
      <c r="N34" s="56" t="n"/>
      <c r="O34" s="56" t="n"/>
      <c r="P34" s="56" t="n"/>
      <c r="Q34" s="57" t="n"/>
      <c r="R34" s="58" t="n"/>
      <c r="S34" s="58" t="n"/>
      <c r="T34" s="56" t="n"/>
      <c r="U34" s="57" t="n"/>
      <c r="V34" s="58" t="n"/>
      <c r="W34" s="58" t="n"/>
      <c r="X34" s="36" t="n"/>
    </row>
    <row r="35" ht="16.5" customHeight="1">
      <c r="B35" s="32" t="n"/>
      <c r="C35" s="153" t="n"/>
      <c r="D35" s="99" t="n"/>
      <c r="E35" s="93">
        <f>IFERROR((INDEX(PanScale!$B$4:$N$13,MATCH(F35,PanScale!$B$4:$B$13,0),MATCH(G35,PanScale!$B$4:$N$4,0))),0%)</f>
        <v/>
      </c>
      <c r="F35" s="59" t="n"/>
      <c r="G35" s="59" t="n"/>
      <c r="H35" s="59" t="n"/>
      <c r="I35" s="60" t="n"/>
      <c r="J35" s="226">
        <f>PRODUCT($F35*H35*I35)</f>
        <v/>
      </c>
      <c r="K35" s="70" t="n"/>
      <c r="L35" s="59" t="n"/>
      <c r="M35" s="60" t="n"/>
      <c r="N35" s="226">
        <f>PRODUCT($F35*L35*M35)</f>
        <v/>
      </c>
      <c r="O35" s="70" t="n"/>
      <c r="P35" s="59" t="n"/>
      <c r="Q35" s="60" t="n"/>
      <c r="R35" s="226">
        <f>PRODUCT($F35*P35*Q35)</f>
        <v/>
      </c>
      <c r="S35" s="70" t="n"/>
      <c r="T35" s="59" t="n"/>
      <c r="U35" s="60" t="n"/>
      <c r="V35" s="226">
        <f>PRODUCT($F35*T35*U35)</f>
        <v/>
      </c>
      <c r="W35" s="70" t="n"/>
      <c r="X35" s="36" t="n"/>
    </row>
    <row r="36" ht="16.5" customHeight="1">
      <c r="B36" s="32" t="n"/>
      <c r="C36" s="154" t="n"/>
      <c r="D36" s="155" t="n"/>
      <c r="E36" s="156">
        <f>IFERROR((INDEX(PanScale!$B$4:$N$13,MATCH(F36,PanScale!$B$4:$B$13,0),MATCH(G36,PanScale!$B$4:$N$4,0))),0%)</f>
        <v/>
      </c>
      <c r="F36" s="157" t="n"/>
      <c r="G36" s="157" t="n"/>
      <c r="H36" s="157" t="n"/>
      <c r="I36" s="158" t="n"/>
      <c r="J36" s="159">
        <f>PRODUCT($F36*H36*I36)</f>
        <v/>
      </c>
      <c r="K36" s="225" t="n"/>
      <c r="L36" s="227" t="n"/>
      <c r="M36" s="158" t="n"/>
      <c r="N36" s="225">
        <f>PRODUCT($F36*L36*M36)</f>
        <v/>
      </c>
      <c r="O36" s="159" t="n"/>
      <c r="P36" s="157" t="n"/>
      <c r="Q36" s="158" t="n"/>
      <c r="R36" s="225">
        <f>PRODUCT($F36*P36*Q36)</f>
        <v/>
      </c>
      <c r="S36" s="159" t="n"/>
      <c r="T36" s="157" t="n"/>
      <c r="U36" s="158" t="n"/>
      <c r="V36" s="225">
        <f>PRODUCT($F36*T36*U36)</f>
        <v/>
      </c>
      <c r="W36" s="159" t="n"/>
      <c r="X36" s="36" t="n"/>
    </row>
    <row r="37" ht="16.5" customHeight="1">
      <c r="B37" s="32" t="n"/>
      <c r="C37" s="100" t="n"/>
      <c r="D37" s="101" t="n"/>
      <c r="E37" s="152">
        <f>IFERROR((INDEX(PanScale!$B$4:$N$13,MATCH(F37,PanScale!$B$4:$B$13,0),MATCH(G37,PanScale!$B$4:$N$4,0))),0%)</f>
        <v/>
      </c>
      <c r="F37" s="62" t="n"/>
      <c r="G37" s="62" t="n"/>
      <c r="H37" s="62" t="n"/>
      <c r="I37" s="69" t="n"/>
      <c r="J37" s="61">
        <f>PRODUCT($F37*H37*I37)</f>
        <v/>
      </c>
      <c r="K37" s="71" t="n"/>
      <c r="L37" s="62" t="n"/>
      <c r="M37" s="69" t="n"/>
      <c r="N37" s="61">
        <f>PRODUCT($F37*L37*M37)</f>
        <v/>
      </c>
      <c r="O37" s="71" t="n"/>
      <c r="P37" s="62" t="n"/>
      <c r="Q37" s="69" t="n"/>
      <c r="R37" s="61">
        <f>PRODUCT($F37*P37*Q37)</f>
        <v/>
      </c>
      <c r="S37" s="71" t="n"/>
      <c r="T37" s="62" t="n"/>
      <c r="U37" s="69" t="n"/>
      <c r="V37" s="61">
        <f>PRODUCT($F37*T37*U37)</f>
        <v/>
      </c>
      <c r="W37" s="71" t="n"/>
      <c r="X37" s="36" t="n"/>
    </row>
    <row r="38" ht="16.5" customHeight="1">
      <c r="B38" s="32" t="n"/>
      <c r="C38" s="100" t="n"/>
      <c r="D38" s="101" t="n"/>
      <c r="E38" s="47" t="n"/>
      <c r="F38" s="61" t="n"/>
      <c r="G38" s="61" t="n"/>
      <c r="H38" s="61" t="n"/>
      <c r="I38" s="61" t="n"/>
      <c r="J38" s="62" t="n"/>
      <c r="K38" s="61" t="n"/>
      <c r="L38" s="61" t="n"/>
      <c r="M38" s="61" t="n"/>
      <c r="N38" s="62" t="n"/>
      <c r="O38" s="61" t="n"/>
      <c r="P38" s="61" t="n"/>
      <c r="Q38" s="61" t="n"/>
      <c r="R38" s="62" t="n"/>
      <c r="S38" s="61" t="n"/>
      <c r="T38" s="61" t="n"/>
      <c r="U38" s="61" t="n"/>
      <c r="V38" s="62" t="n"/>
      <c r="W38" s="61" t="n"/>
      <c r="X38" s="36" t="n"/>
    </row>
    <row r="39" ht="17.25" customHeight="1" thickBot="1">
      <c r="B39" s="32" t="n"/>
      <c r="C39" s="100" t="n"/>
      <c r="D39" s="64" t="inlineStr">
        <is>
          <t>Recupero:</t>
        </is>
      </c>
      <c r="E39" s="47" t="n"/>
      <c r="F39" s="61" t="n"/>
      <c r="G39" s="61" t="n"/>
      <c r="H39" s="365" t="n"/>
      <c r="I39" s="9" t="n"/>
      <c r="J39" s="9" t="n"/>
      <c r="K39" s="366" t="n"/>
      <c r="L39" s="365" t="n"/>
      <c r="M39" s="9" t="n"/>
      <c r="N39" s="9" t="n"/>
      <c r="O39" s="366" t="n"/>
      <c r="P39" s="365" t="n"/>
      <c r="Q39" s="9" t="n"/>
      <c r="R39" s="9" t="n"/>
      <c r="S39" s="366" t="n"/>
      <c r="T39" s="365" t="n"/>
      <c r="U39" s="9" t="n"/>
      <c r="V39" s="9" t="n"/>
      <c r="W39" s="366" t="n"/>
      <c r="X39" s="48" t="n"/>
    </row>
    <row r="40" ht="17.25" customHeight="1" thickTop="1">
      <c r="B40" s="32" t="n"/>
      <c r="C40" s="26" t="n"/>
      <c r="D40" s="63" t="inlineStr">
        <is>
          <t>Volume totale :</t>
        </is>
      </c>
      <c r="E40" s="63" t="n"/>
      <c r="F40" s="63" t="n"/>
      <c r="G40" s="63" t="n"/>
      <c r="H40" s="336">
        <f>SUMPRODUCT(($F35:$F37*H35:H37)*I35:I37)</f>
        <v/>
      </c>
      <c r="I40" s="367" t="n"/>
      <c r="J40" s="367" t="n"/>
      <c r="K40" s="368" t="n"/>
      <c r="L40" s="336">
        <f>SUMPRODUCT(($F35:$F37*L35:L37)*M35:M37)</f>
        <v/>
      </c>
      <c r="M40" s="367" t="n"/>
      <c r="N40" s="367" t="n"/>
      <c r="O40" s="368" t="n"/>
      <c r="P40" s="336">
        <f>SUMPRODUCT(($F35:$F37*P35:P37)*Q35:Q37)</f>
        <v/>
      </c>
      <c r="Q40" s="367" t="n"/>
      <c r="R40" s="367" t="n"/>
      <c r="S40" s="368" t="n"/>
      <c r="T40" s="369">
        <f>SUMPRODUCT(($F35:$F37*T35:T37)*U35:U37)</f>
        <v/>
      </c>
      <c r="U40" s="367" t="n"/>
      <c r="V40" s="367" t="n"/>
      <c r="W40" s="368" t="n"/>
      <c r="X40" s="48" t="n"/>
    </row>
    <row r="41" ht="17.25" customHeight="1" thickBot="1">
      <c r="B41" s="32" t="n"/>
      <c r="C41" s="26" t="n"/>
      <c r="D41" s="64" t="inlineStr">
        <is>
          <t>Intensità totale :</t>
        </is>
      </c>
      <c r="E41" s="63" t="n"/>
      <c r="F41" s="63" t="n"/>
      <c r="G41" s="63" t="n"/>
      <c r="H41" s="349">
        <f>IFERROR(SUMPRODUCT($E35:$E37,J35:J37)/SUM(J35:J37),"")</f>
        <v/>
      </c>
      <c r="I41" s="370" t="n"/>
      <c r="J41" s="370" t="n"/>
      <c r="K41" s="371" t="n"/>
      <c r="L41" s="349">
        <f>IFERROR(SUMPRODUCT($E35:$E37,N35:N37)/SUM(N35:N37),"")</f>
        <v/>
      </c>
      <c r="M41" s="370" t="n"/>
      <c r="N41" s="370" t="n"/>
      <c r="O41" s="371" t="n"/>
      <c r="P41" s="349">
        <f>IFERROR(SUMPRODUCT($E35:$E37,R35:R37)/SUM(R35:R37),"")</f>
        <v/>
      </c>
      <c r="Q41" s="370" t="n"/>
      <c r="R41" s="370" t="n"/>
      <c r="S41" s="371" t="n"/>
      <c r="T41" s="372">
        <f>IFERROR(SUMPRODUCT($E35:$E37,V35:V37)/SUM(V35:V37),"")</f>
        <v/>
      </c>
      <c r="U41" s="370" t="n"/>
      <c r="V41" s="370" t="n"/>
      <c r="W41" s="371" t="n"/>
      <c r="X41" s="48" t="n"/>
    </row>
    <row r="42" ht="16.5" customHeight="1">
      <c r="B42" s="32" t="n"/>
      <c r="C42" s="46" t="n"/>
      <c r="D42" s="64" t="n"/>
      <c r="E42" s="46" t="n"/>
      <c r="F42" s="46" t="n"/>
      <c r="G42" s="46" t="n"/>
      <c r="H42" s="72" t="n"/>
      <c r="I42" s="72" t="n"/>
      <c r="J42" s="46" t="n"/>
      <c r="K42" s="46" t="n"/>
      <c r="L42" s="72" t="n"/>
      <c r="M42" s="72" t="n"/>
      <c r="N42" s="47" t="n"/>
      <c r="O42" s="47" t="n"/>
      <c r="P42" s="72" t="n"/>
      <c r="Q42" s="72" t="n"/>
      <c r="R42" s="65" t="n"/>
      <c r="S42" s="65" t="n"/>
      <c r="T42" s="65" t="n"/>
      <c r="U42" s="65" t="n"/>
      <c r="V42" s="65" t="n"/>
      <c r="W42" s="65" t="n"/>
      <c r="X42" s="41" t="n"/>
    </row>
    <row r="43" ht="81.59999999999999" customHeight="1">
      <c r="B43" s="32" t="n"/>
      <c r="C43" s="344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43" s="344" t="n"/>
      <c r="X43" s="41" t="n"/>
    </row>
    <row r="44" ht="16.5" customHeight="1" thickBot="1">
      <c r="B44" s="66" t="n"/>
      <c r="C44" s="345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67" t="n"/>
      <c r="S44" s="67" t="n"/>
      <c r="T44" s="347">
        <f>$T$21+28</f>
        <v/>
      </c>
      <c r="U44" s="9" t="n"/>
      <c r="V44" s="9" t="n"/>
      <c r="W44" s="9" t="n"/>
      <c r="X44" s="373" t="n"/>
    </row>
    <row r="45" ht="16.5" customHeight="1" thickTop="1">
      <c r="B45" s="26" t="n"/>
      <c r="C45" s="65" t="n"/>
      <c r="D45" s="65" t="n"/>
      <c r="E45" s="65" t="n"/>
      <c r="F45" s="65" t="n"/>
      <c r="G45" s="65" t="n"/>
      <c r="H45" s="65" t="n"/>
      <c r="I45" s="65" t="n"/>
      <c r="J45" s="65" t="n"/>
      <c r="K45" s="65" t="n"/>
      <c r="L45" s="65" t="n"/>
      <c r="M45" s="65" t="n"/>
      <c r="N45" s="65" t="n"/>
      <c r="O45" s="65" t="n"/>
      <c r="P45" s="65" t="n"/>
      <c r="Q45" s="65" t="n"/>
      <c r="R45" s="40" t="n"/>
      <c r="S45" s="40" t="n"/>
      <c r="T45" s="40" t="n"/>
      <c r="U45" s="40" t="n"/>
      <c r="V45" s="40" t="n"/>
      <c r="W45" s="40" t="n"/>
      <c r="X45" s="40" t="n"/>
    </row>
    <row r="46" ht="15.75" customHeight="1">
      <c r="B46" s="26" t="n"/>
      <c r="C46" s="65" t="n"/>
      <c r="D46" s="65" t="n"/>
      <c r="E46" s="65" t="n"/>
      <c r="F46" s="65" t="n"/>
      <c r="G46" s="65" t="n"/>
      <c r="H46" s="65" t="n"/>
      <c r="I46" s="65" t="n"/>
      <c r="J46" s="65" t="n"/>
      <c r="K46" s="65" t="n"/>
      <c r="L46" s="65" t="n"/>
      <c r="M46" s="65" t="n"/>
      <c r="N46" s="65" t="n"/>
      <c r="O46" s="65" t="n"/>
      <c r="P46" s="65" t="n"/>
      <c r="Q46" s="65" t="n"/>
      <c r="R46" s="40" t="n"/>
      <c r="S46" s="40" t="n"/>
      <c r="T46" s="40" t="n"/>
      <c r="U46" s="40" t="n"/>
      <c r="V46" s="40" t="n"/>
      <c r="W46" s="40" t="n"/>
      <c r="X46" s="40" t="n"/>
    </row>
    <row r="47" ht="15.75" customHeight="1">
      <c r="B47" s="26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5" t="n"/>
      <c r="M47" s="65" t="n"/>
      <c r="N47" s="65" t="n"/>
      <c r="O47" s="65" t="n"/>
      <c r="P47" s="65" t="n"/>
      <c r="Q47" s="65" t="n"/>
      <c r="R47" s="40" t="n"/>
      <c r="S47" s="40" t="n"/>
      <c r="T47" s="40" t="n"/>
      <c r="U47" s="40" t="n"/>
      <c r="V47" s="40" t="n"/>
      <c r="W47" s="40" t="n"/>
      <c r="X47" s="40" t="n"/>
    </row>
    <row r="48" ht="15.75" customHeight="1">
      <c r="B48" s="26" t="n"/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65" t="n"/>
      <c r="M48" s="65" t="n"/>
      <c r="N48" s="65" t="n"/>
      <c r="O48" s="65" t="n"/>
      <c r="P48" s="65" t="n"/>
      <c r="Q48" s="65" t="n"/>
      <c r="R48" s="40" t="n"/>
      <c r="S48" s="40" t="n"/>
      <c r="T48" s="40" t="n"/>
      <c r="U48" s="40" t="n"/>
      <c r="V48" s="40" t="n"/>
      <c r="W48" s="40" t="n"/>
      <c r="X48" s="40" t="n"/>
    </row>
    <row r="49" ht="15.75" customHeight="1">
      <c r="B49" s="26" t="n"/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65" t="n"/>
      <c r="R49" s="40" t="n"/>
      <c r="S49" s="40" t="n"/>
      <c r="T49" s="40" t="n"/>
      <c r="U49" s="40" t="n"/>
      <c r="V49" s="40" t="n"/>
      <c r="W49" s="40" t="n"/>
      <c r="X49" s="40" t="n"/>
    </row>
    <row r="50" ht="15.75" customHeight="1">
      <c r="B50" s="26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n"/>
      <c r="R50" s="40" t="n"/>
      <c r="S50" s="40" t="n"/>
      <c r="T50" s="40" t="n"/>
      <c r="U50" s="40" t="n"/>
      <c r="V50" s="40" t="n"/>
      <c r="W50" s="40" t="n"/>
      <c r="X50" s="40" t="n"/>
    </row>
    <row r="51" ht="15.75" customHeight="1">
      <c r="B51" s="26" t="n"/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65" t="n"/>
      <c r="M51" s="65" t="n"/>
      <c r="N51" s="65" t="n"/>
      <c r="O51" s="65" t="n"/>
      <c r="P51" s="65" t="n"/>
      <c r="Q51" s="65" t="n"/>
      <c r="R51" s="40" t="n"/>
      <c r="S51" s="40" t="n"/>
      <c r="T51" s="40" t="n"/>
      <c r="U51" s="40" t="n"/>
      <c r="V51" s="40" t="n"/>
      <c r="W51" s="40" t="n"/>
      <c r="X51" s="40" t="n"/>
    </row>
    <row r="52">
      <c r="C52" s="26" t="n"/>
      <c r="D52" s="26" t="n"/>
      <c r="E52" s="26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68" t="n"/>
      <c r="S52" s="68" t="n"/>
      <c r="T52" s="68" t="n"/>
      <c r="U52" s="68" t="n"/>
      <c r="V52" s="68" t="n"/>
      <c r="W52" s="68" t="n"/>
      <c r="X52" s="68" t="n"/>
    </row>
    <row r="53">
      <c r="C53" s="26" t="n"/>
      <c r="D53" s="26" t="n"/>
      <c r="E53" s="26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68" t="n"/>
      <c r="S53" s="68" t="n"/>
      <c r="T53" s="68" t="n"/>
      <c r="U53" s="68" t="n"/>
      <c r="V53" s="68" t="n"/>
      <c r="W53" s="68" t="n"/>
      <c r="X53" s="68" t="n"/>
    </row>
    <row r="54">
      <c r="C54" s="26" t="n"/>
      <c r="D54" s="26" t="n"/>
      <c r="E54" s="26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68" t="n"/>
      <c r="S54" s="68" t="n"/>
      <c r="T54" s="68" t="n"/>
      <c r="U54" s="68" t="n"/>
      <c r="V54" s="68" t="n"/>
      <c r="W54" s="68" t="n"/>
      <c r="X54" s="68" t="n"/>
    </row>
    <row r="55" ht="16.5" customHeight="1" thickBot="1">
      <c r="B55" s="337" t="inlineStr">
        <is>
          <t>WEEK 9-12</t>
        </is>
      </c>
      <c r="C55" s="9" t="n"/>
      <c r="E55" s="326">
        <f>#REF!</f>
        <v/>
      </c>
      <c r="F55" s="28" t="n"/>
      <c r="G55" s="28" t="n"/>
      <c r="H55" s="28" t="n"/>
      <c r="I55" s="28" t="n"/>
      <c r="J55" s="27" t="n"/>
      <c r="K55" s="27" t="n"/>
      <c r="L55" s="27" t="n"/>
      <c r="M55" s="338">
        <f>$X$4</f>
        <v/>
      </c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</row>
    <row r="56" ht="40.15" customHeight="1" thickBot="1" thickTop="1">
      <c r="B56" s="317" t="n"/>
      <c r="C56" s="360" t="n"/>
      <c r="D56" s="360" t="n"/>
      <c r="E56" s="360" t="n"/>
      <c r="F56" s="360" t="n"/>
      <c r="G56" s="360" t="n"/>
      <c r="H56" s="360" t="n"/>
      <c r="I56" s="360" t="n"/>
      <c r="J56" s="360" t="n"/>
      <c r="K56" s="360" t="n"/>
      <c r="L56" s="360" t="n"/>
      <c r="M56" s="360" t="n"/>
      <c r="N56" s="360" t="n"/>
      <c r="O56" s="360" t="n"/>
      <c r="P56" s="360" t="n"/>
      <c r="Q56" s="360" t="n"/>
      <c r="R56" s="109" t="n"/>
      <c r="S56" s="109" t="n"/>
      <c r="T56" s="340">
        <f>$T$29</f>
        <v/>
      </c>
      <c r="U56" s="360" t="n"/>
      <c r="V56" s="360" t="n"/>
      <c r="W56" s="360" t="n"/>
      <c r="X56" s="362" t="n"/>
    </row>
    <row r="57" ht="18" customHeight="1" thickBot="1" thickTop="1">
      <c r="B57" s="179" t="n"/>
      <c r="C57" s="180" t="n"/>
      <c r="D57" s="180" t="n"/>
      <c r="E57" s="312">
        <f>$E$30</f>
        <v/>
      </c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0" t="n"/>
      <c r="P57" s="180" t="n"/>
      <c r="Q57" s="180" t="n"/>
      <c r="R57" s="180" t="n"/>
      <c r="S57" s="180" t="n"/>
      <c r="T57" s="180" t="n"/>
      <c r="U57" s="180" t="n"/>
      <c r="V57" s="180" t="n"/>
      <c r="W57" s="180" t="n"/>
      <c r="X57" s="181" t="n"/>
    </row>
    <row r="58" ht="15.75" customHeight="1" thickTop="1">
      <c r="B58" s="29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30" t="n"/>
      <c r="P58" s="30" t="n"/>
      <c r="Q58" s="30" t="n"/>
      <c r="R58" s="30" t="n"/>
      <c r="S58" s="30" t="n"/>
      <c r="T58" s="30" t="n"/>
      <c r="U58" s="30" t="n"/>
      <c r="V58" s="30" t="n"/>
      <c r="W58" s="30" t="n"/>
      <c r="X58" s="31" t="n"/>
    </row>
    <row r="59" ht="16.5" customHeight="1">
      <c r="B59" s="32" t="n"/>
      <c r="C59" s="46" t="n"/>
      <c r="D59" s="46" t="n"/>
      <c r="E59" s="46" t="n"/>
      <c r="F59" s="47" t="n"/>
      <c r="G59" s="47" t="n"/>
      <c r="H59" s="352" t="inlineStr">
        <is>
          <t>Wk 9</t>
        </is>
      </c>
      <c r="K59" s="363" t="n"/>
      <c r="L59" s="364" t="inlineStr">
        <is>
          <t>Wk 10</t>
        </is>
      </c>
      <c r="O59" s="363" t="n"/>
      <c r="P59" s="364" t="inlineStr">
        <is>
          <t>Wk 11</t>
        </is>
      </c>
      <c r="S59" s="363" t="n"/>
      <c r="T59" s="353" t="inlineStr">
        <is>
          <t>Wk 12</t>
        </is>
      </c>
      <c r="X59" s="48" t="n"/>
    </row>
    <row r="60" ht="16.5" customHeight="1">
      <c r="B60" s="32" t="n"/>
      <c r="C60" s="342" t="inlineStr">
        <is>
          <t>Sequenza</t>
        </is>
      </c>
      <c r="D60" s="363" t="n"/>
      <c r="E60" s="49" t="inlineStr">
        <is>
          <t>%1RM</t>
        </is>
      </c>
      <c r="F60" s="49" t="inlineStr">
        <is>
          <t>Nm</t>
        </is>
      </c>
      <c r="G60" s="49" t="inlineStr">
        <is>
          <t>Nr</t>
        </is>
      </c>
      <c r="H60" s="50" t="inlineStr">
        <is>
          <t>S</t>
        </is>
      </c>
      <c r="I60" s="51" t="inlineStr">
        <is>
          <t>R</t>
        </is>
      </c>
      <c r="J60" s="51" t="inlineStr">
        <is>
          <t>TotR</t>
        </is>
      </c>
      <c r="K60" s="51" t="inlineStr">
        <is>
          <t>Esito</t>
        </is>
      </c>
      <c r="L60" s="50" t="inlineStr">
        <is>
          <t>S</t>
        </is>
      </c>
      <c r="M60" s="52" t="inlineStr">
        <is>
          <t>R</t>
        </is>
      </c>
      <c r="N60" s="51" t="inlineStr">
        <is>
          <t>TotR</t>
        </is>
      </c>
      <c r="O60" s="51" t="inlineStr">
        <is>
          <t>Esito</t>
        </is>
      </c>
      <c r="P60" s="50" t="inlineStr">
        <is>
          <t>S</t>
        </is>
      </c>
      <c r="Q60" s="52" t="inlineStr">
        <is>
          <t>R</t>
        </is>
      </c>
      <c r="R60" s="53" t="inlineStr">
        <is>
          <t>TotR</t>
        </is>
      </c>
      <c r="S60" s="51" t="inlineStr">
        <is>
          <t>Esito</t>
        </is>
      </c>
      <c r="T60" s="50" t="inlineStr">
        <is>
          <t>S</t>
        </is>
      </c>
      <c r="U60" s="52" t="inlineStr">
        <is>
          <t>R</t>
        </is>
      </c>
      <c r="V60" s="53" t="inlineStr">
        <is>
          <t>TotR</t>
        </is>
      </c>
      <c r="W60" s="51" t="inlineStr">
        <is>
          <t>Esito</t>
        </is>
      </c>
      <c r="X60" s="36" t="n"/>
    </row>
    <row r="61" ht="16.5" customHeight="1">
      <c r="B61" s="32" t="n"/>
      <c r="C61" s="111" t="inlineStr">
        <is>
          <t>GIORNO 1</t>
        </is>
      </c>
      <c r="D61" s="54" t="n"/>
      <c r="E61" s="55" t="n"/>
      <c r="F61" s="55" t="n"/>
      <c r="G61" s="55" t="n"/>
      <c r="H61" s="56" t="n"/>
      <c r="I61" s="56" t="n"/>
      <c r="J61" s="56" t="n"/>
      <c r="K61" s="56" t="n"/>
      <c r="L61" s="56" t="n"/>
      <c r="M61" s="57" t="n"/>
      <c r="N61" s="56" t="n"/>
      <c r="O61" s="56" t="n"/>
      <c r="P61" s="56" t="n"/>
      <c r="Q61" s="57" t="n"/>
      <c r="R61" s="58" t="n"/>
      <c r="S61" s="58" t="n"/>
      <c r="T61" s="56" t="n"/>
      <c r="U61" s="57" t="n"/>
      <c r="V61" s="58" t="n"/>
      <c r="W61" s="58" t="n"/>
      <c r="X61" s="36" t="n"/>
    </row>
    <row r="62" ht="16.5" customHeight="1">
      <c r="B62" s="32" t="n"/>
      <c r="C62" s="153" t="n"/>
      <c r="D62" s="99" t="n"/>
      <c r="E62" s="93">
        <f>IFERROR((INDEX(PanScale!$B$4:$N$13,MATCH(F62,PanScale!$B$4:$B$13,0),MATCH(G62,PanScale!$B$4:$N$4,0))),0%)</f>
        <v/>
      </c>
      <c r="F62" s="59" t="n"/>
      <c r="G62" s="59" t="n"/>
      <c r="H62" s="59" t="n"/>
      <c r="I62" s="60" t="n"/>
      <c r="J62" s="226">
        <f>PRODUCT($F62*H62*I62)</f>
        <v/>
      </c>
      <c r="K62" s="70" t="n"/>
      <c r="L62" s="59" t="n"/>
      <c r="M62" s="60" t="n"/>
      <c r="N62" s="226">
        <f>PRODUCT($F62*L62*M62)</f>
        <v/>
      </c>
      <c r="O62" s="70" t="n"/>
      <c r="P62" s="59" t="n"/>
      <c r="Q62" s="60" t="n"/>
      <c r="R62" s="226">
        <f>PRODUCT($F62*P62*Q62)</f>
        <v/>
      </c>
      <c r="S62" s="70" t="n"/>
      <c r="T62" s="59" t="n"/>
      <c r="U62" s="60" t="n"/>
      <c r="V62" s="226">
        <f>PRODUCT($F62*T62*U62)</f>
        <v/>
      </c>
      <c r="W62" s="70" t="n"/>
      <c r="X62" s="36" t="n"/>
    </row>
    <row r="63" ht="16.5" customHeight="1">
      <c r="B63" s="32" t="n"/>
      <c r="C63" s="154" t="n"/>
      <c r="D63" s="155" t="n"/>
      <c r="E63" s="156">
        <f>IFERROR((INDEX(PanScale!$B$4:$N$13,MATCH(F63,PanScale!$B$4:$B$13,0),MATCH(G63,PanScale!$B$4:$N$4,0))),0%)</f>
        <v/>
      </c>
      <c r="F63" s="157" t="n"/>
      <c r="G63" s="157" t="n"/>
      <c r="H63" s="157" t="n"/>
      <c r="I63" s="158" t="n"/>
      <c r="J63" s="159">
        <f>PRODUCT($F63*H63*I63)</f>
        <v/>
      </c>
      <c r="K63" s="225" t="n"/>
      <c r="L63" s="227" t="n"/>
      <c r="M63" s="158" t="n"/>
      <c r="N63" s="225">
        <f>PRODUCT($F63*L63*M63)</f>
        <v/>
      </c>
      <c r="O63" s="159" t="n"/>
      <c r="P63" s="157" t="n"/>
      <c r="Q63" s="158" t="n"/>
      <c r="R63" s="225">
        <f>PRODUCT($F63*P63*Q63)</f>
        <v/>
      </c>
      <c r="S63" s="159" t="n"/>
      <c r="T63" s="157" t="n"/>
      <c r="U63" s="158" t="n"/>
      <c r="V63" s="225">
        <f>PRODUCT($F63*T63*U63)</f>
        <v/>
      </c>
      <c r="W63" s="159" t="n"/>
      <c r="X63" s="36" t="n"/>
    </row>
    <row r="64" ht="16.5" customHeight="1">
      <c r="B64" s="32" t="n"/>
      <c r="C64" s="100" t="n"/>
      <c r="D64" s="101" t="n"/>
      <c r="E64" s="152">
        <f>IFERROR((INDEX(PanScale!$B$4:$N$13,MATCH(F64,PanScale!$B$4:$B$13,0),MATCH(G64,PanScale!$B$4:$N$4,0))),0%)</f>
        <v/>
      </c>
      <c r="F64" s="62" t="n"/>
      <c r="G64" s="62" t="n"/>
      <c r="H64" s="62" t="n"/>
      <c r="I64" s="69" t="n"/>
      <c r="J64" s="61">
        <f>PRODUCT($F64*H64*I64)</f>
        <v/>
      </c>
      <c r="K64" s="71" t="n"/>
      <c r="L64" s="62" t="n"/>
      <c r="M64" s="69" t="n"/>
      <c r="N64" s="61">
        <f>PRODUCT($F64*L64*M64)</f>
        <v/>
      </c>
      <c r="O64" s="71" t="n"/>
      <c r="P64" s="62" t="n"/>
      <c r="Q64" s="69" t="n"/>
      <c r="R64" s="61">
        <f>PRODUCT($F64*P64*Q64)</f>
        <v/>
      </c>
      <c r="S64" s="71" t="n"/>
      <c r="T64" s="62" t="n"/>
      <c r="U64" s="69" t="n"/>
      <c r="V64" s="61">
        <f>PRODUCT($F64*T64*U64)</f>
        <v/>
      </c>
      <c r="W64" s="71" t="n"/>
      <c r="X64" s="36" t="n"/>
    </row>
    <row r="65" ht="16.5" customHeight="1">
      <c r="B65" s="32" t="n"/>
      <c r="C65" s="100" t="n"/>
      <c r="D65" s="101" t="n"/>
      <c r="E65" s="47" t="n"/>
      <c r="F65" s="61" t="n"/>
      <c r="G65" s="61" t="n"/>
      <c r="H65" s="61" t="n"/>
      <c r="I65" s="61" t="n"/>
      <c r="J65" s="62" t="n"/>
      <c r="K65" s="61" t="n"/>
      <c r="L65" s="61" t="n"/>
      <c r="M65" s="61" t="n"/>
      <c r="N65" s="62" t="n"/>
      <c r="O65" s="61" t="n"/>
      <c r="P65" s="61" t="n"/>
      <c r="Q65" s="61" t="n"/>
      <c r="R65" s="62" t="n"/>
      <c r="S65" s="61" t="n"/>
      <c r="T65" s="61" t="n"/>
      <c r="U65" s="61" t="n"/>
      <c r="V65" s="62" t="n"/>
      <c r="W65" s="61" t="n"/>
      <c r="X65" s="36" t="n"/>
    </row>
    <row r="66" ht="17.25" customHeight="1" thickBot="1">
      <c r="B66" s="32" t="n"/>
      <c r="C66" s="100" t="n"/>
      <c r="D66" s="64" t="inlineStr">
        <is>
          <t>Recupero:</t>
        </is>
      </c>
      <c r="E66" s="47" t="n"/>
      <c r="F66" s="61" t="n"/>
      <c r="G66" s="61" t="n"/>
      <c r="H66" s="365" t="n"/>
      <c r="I66" s="9" t="n"/>
      <c r="J66" s="9" t="n"/>
      <c r="K66" s="366" t="n"/>
      <c r="L66" s="365" t="n"/>
      <c r="M66" s="9" t="n"/>
      <c r="N66" s="9" t="n"/>
      <c r="O66" s="366" t="n"/>
      <c r="P66" s="365" t="n"/>
      <c r="Q66" s="9" t="n"/>
      <c r="R66" s="9" t="n"/>
      <c r="S66" s="366" t="n"/>
      <c r="T66" s="365" t="n"/>
      <c r="U66" s="9" t="n"/>
      <c r="V66" s="9" t="n"/>
      <c r="W66" s="366" t="n"/>
      <c r="X66" s="48" t="n"/>
    </row>
    <row r="67" ht="17.25" customHeight="1" thickTop="1">
      <c r="B67" s="32" t="n"/>
      <c r="C67" s="26" t="n"/>
      <c r="D67" s="63" t="inlineStr">
        <is>
          <t>Volume totale :</t>
        </is>
      </c>
      <c r="E67" s="63" t="n"/>
      <c r="F67" s="63" t="n"/>
      <c r="G67" s="63" t="n"/>
      <c r="H67" s="336">
        <f>SUMPRODUCT(($F62:$F64*H62:H64)*I62:I64)</f>
        <v/>
      </c>
      <c r="I67" s="367" t="n"/>
      <c r="J67" s="367" t="n"/>
      <c r="K67" s="368" t="n"/>
      <c r="L67" s="336">
        <f>SUMPRODUCT(($F62:$F64*L62:L64)*M62:M64)</f>
        <v/>
      </c>
      <c r="M67" s="367" t="n"/>
      <c r="N67" s="367" t="n"/>
      <c r="O67" s="368" t="n"/>
      <c r="P67" s="336">
        <f>SUMPRODUCT(($F62:$F64*P62:P64)*Q62:Q64)</f>
        <v/>
      </c>
      <c r="Q67" s="367" t="n"/>
      <c r="R67" s="367" t="n"/>
      <c r="S67" s="368" t="n"/>
      <c r="T67" s="369">
        <f>SUMPRODUCT(($F62:$F64*T62:T64)*U62:U64)</f>
        <v/>
      </c>
      <c r="U67" s="367" t="n"/>
      <c r="V67" s="367" t="n"/>
      <c r="W67" s="368" t="n"/>
      <c r="X67" s="48" t="n"/>
    </row>
    <row r="68" ht="17.25" customHeight="1" thickBot="1">
      <c r="B68" s="32" t="n"/>
      <c r="C68" s="26" t="n"/>
      <c r="D68" s="64" t="inlineStr">
        <is>
          <t>Intensità totale :</t>
        </is>
      </c>
      <c r="E68" s="63" t="n"/>
      <c r="F68" s="63" t="n"/>
      <c r="G68" s="63" t="n"/>
      <c r="H68" s="349">
        <f>IFERROR(SUMPRODUCT($E62:$E64,J62:J64)/SUM(J62:J64),"")</f>
        <v/>
      </c>
      <c r="I68" s="370" t="n"/>
      <c r="J68" s="370" t="n"/>
      <c r="K68" s="371" t="n"/>
      <c r="L68" s="349">
        <f>IFERROR(SUMPRODUCT($E62:$E64,N62:N64)/SUM(N62:N64),"")</f>
        <v/>
      </c>
      <c r="M68" s="370" t="n"/>
      <c r="N68" s="370" t="n"/>
      <c r="O68" s="371" t="n"/>
      <c r="P68" s="349">
        <f>IFERROR(SUMPRODUCT($E62:$E64,R62:R64)/SUM(R62:R64),"")</f>
        <v/>
      </c>
      <c r="Q68" s="370" t="n"/>
      <c r="R68" s="370" t="n"/>
      <c r="S68" s="371" t="n"/>
      <c r="T68" s="372">
        <f>IFERROR(SUMPRODUCT($E62:$E64,V62:V64)/SUM(V62:V64),"")</f>
        <v/>
      </c>
      <c r="U68" s="370" t="n"/>
      <c r="V68" s="370" t="n"/>
      <c r="W68" s="371" t="n"/>
      <c r="X68" s="48" t="n"/>
    </row>
    <row r="69" ht="15.6" customHeight="1">
      <c r="B69" s="32" t="n"/>
      <c r="C69" s="46" t="n"/>
      <c r="D69" s="64" t="n"/>
      <c r="E69" s="46" t="n"/>
      <c r="F69" s="46" t="n"/>
      <c r="G69" s="46" t="n"/>
      <c r="H69" s="72" t="n"/>
      <c r="I69" s="72" t="n"/>
      <c r="J69" s="46" t="n"/>
      <c r="K69" s="46" t="n"/>
      <c r="L69" s="72" t="n"/>
      <c r="M69" s="72" t="n"/>
      <c r="N69" s="47" t="n"/>
      <c r="O69" s="47" t="n"/>
      <c r="P69" s="72" t="n"/>
      <c r="Q69" s="72" t="n"/>
      <c r="R69" s="65" t="n"/>
      <c r="S69" s="65" t="n"/>
      <c r="T69" s="65" t="n"/>
      <c r="U69" s="65" t="n"/>
      <c r="V69" s="65" t="n"/>
      <c r="W69" s="65" t="n"/>
      <c r="X69" s="41" t="n"/>
    </row>
    <row r="70" ht="79.90000000000001" customHeight="1">
      <c r="B70" s="32" t="n"/>
      <c r="C70" s="344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70" s="344" t="n"/>
      <c r="X70" s="41" t="n"/>
    </row>
    <row r="71" ht="16.5" customHeight="1" thickBot="1">
      <c r="B71" s="66" t="n"/>
      <c r="C71" s="345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67" t="n"/>
      <c r="S71" s="67" t="n"/>
      <c r="T71" s="347">
        <f>$T$21+56</f>
        <v/>
      </c>
      <c r="U71" s="9" t="n"/>
      <c r="V71" s="9" t="n"/>
      <c r="W71" s="9" t="n"/>
      <c r="X71" s="373" t="n"/>
    </row>
    <row r="72" ht="15.75" customHeight="1" thickTop="1"/>
  </sheetData>
  <mergeCells count="72">
    <mergeCell ref="H66:K66"/>
    <mergeCell ref="T41:W41"/>
    <mergeCell ref="T66:W66"/>
    <mergeCell ref="T17:W17"/>
    <mergeCell ref="T8:W8"/>
    <mergeCell ref="L40:O40"/>
    <mergeCell ref="C33:D33"/>
    <mergeCell ref="P18:S18"/>
    <mergeCell ref="T16:W16"/>
    <mergeCell ref="C44:Q44"/>
    <mergeCell ref="T29:X29"/>
    <mergeCell ref="L59:O59"/>
    <mergeCell ref="P68:S68"/>
    <mergeCell ref="L41:O41"/>
    <mergeCell ref="B5:Q5"/>
    <mergeCell ref="H18:K18"/>
    <mergeCell ref="C21:Q21"/>
    <mergeCell ref="T18:W18"/>
    <mergeCell ref="E4:L4"/>
    <mergeCell ref="T67:W67"/>
    <mergeCell ref="H8:K8"/>
    <mergeCell ref="C20:V20"/>
    <mergeCell ref="T39:W39"/>
    <mergeCell ref="M28:X28"/>
    <mergeCell ref="L17:O17"/>
    <mergeCell ref="T44:X44"/>
    <mergeCell ref="C71:Q71"/>
    <mergeCell ref="H67:K67"/>
    <mergeCell ref="L16:O16"/>
    <mergeCell ref="C9:D9"/>
    <mergeCell ref="L32:O32"/>
    <mergeCell ref="T71:X71"/>
    <mergeCell ref="T32:W32"/>
    <mergeCell ref="L67:O67"/>
    <mergeCell ref="H41:K41"/>
    <mergeCell ref="P41:S41"/>
    <mergeCell ref="T21:X21"/>
    <mergeCell ref="L66:O66"/>
    <mergeCell ref="H40:K40"/>
    <mergeCell ref="C60:D60"/>
    <mergeCell ref="P40:S40"/>
    <mergeCell ref="C43:V43"/>
    <mergeCell ref="H39:K39"/>
    <mergeCell ref="B56:Q56"/>
    <mergeCell ref="B28:C28"/>
    <mergeCell ref="P59:S59"/>
    <mergeCell ref="H68:K68"/>
    <mergeCell ref="T68:W68"/>
    <mergeCell ref="H59:K59"/>
    <mergeCell ref="T59:W59"/>
    <mergeCell ref="P8:S8"/>
    <mergeCell ref="L68:O68"/>
    <mergeCell ref="L18:O18"/>
    <mergeCell ref="C70:V70"/>
    <mergeCell ref="B55:C55"/>
    <mergeCell ref="T56:X56"/>
    <mergeCell ref="L8:O8"/>
    <mergeCell ref="P67:S67"/>
    <mergeCell ref="P39:S39"/>
    <mergeCell ref="H17:K17"/>
    <mergeCell ref="L39:O39"/>
    <mergeCell ref="M55:X55"/>
    <mergeCell ref="P17:S17"/>
    <mergeCell ref="B6:X6"/>
    <mergeCell ref="T40:W40"/>
    <mergeCell ref="H16:K16"/>
    <mergeCell ref="H32:K32"/>
    <mergeCell ref="P16:S16"/>
    <mergeCell ref="P32:S32"/>
    <mergeCell ref="B29:Q29"/>
    <mergeCell ref="B4:C4"/>
    <mergeCell ref="P66:S6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2026-04-16T10:15:03Z</dcterms:modified>
  <cp:lastModifiedBy>Samuele Malavasi</cp:lastModifiedBy>
</cp:coreProperties>
</file>