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23148" yWindow="648" windowWidth="23256" windowHeight="12456" tabRatio="600" firstSheet="12" autoFilterDateGrouping="1"/>
  </bookViews>
  <sheets>
    <sheet xmlns:r="http://schemas.openxmlformats.org/officeDocument/2006/relationships" name="Grafici monitoraggio" sheetId="1" state="visible" r:id="rId1"/>
  </sheets>
  <definedNames/>
  <calcPr calcId="191028" fullCalcOnLoad="1"/>
  <pivotCaches>
    <pivotCache xmlns:r="http://schemas.openxmlformats.org/officeDocument/2006/relationships" cacheId="183" r:id="rId2"/>
  </pivotCaches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39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  <font>
      <name val="Calibri"/>
      <family val="2"/>
      <color rgb="FFFFFF00"/>
      <sz val="11"/>
      <scheme val="minor"/>
    </font>
  </fonts>
  <fills count="22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4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5" fillId="0" borderId="35" applyAlignment="1" pivotButton="0" quotePrefix="0" xfId="0">
      <alignment horizontal="right" vertical="center"/>
    </xf>
    <xf numFmtId="0" fontId="0" fillId="7" borderId="0" pivotButton="0" quotePrefix="0" xfId="0"/>
    <xf numFmtId="0" fontId="25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9" fontId="24" fillId="0" borderId="0" applyAlignment="1" pivotButton="0" quotePrefix="1" xfId="0">
      <alignment vertical="center"/>
    </xf>
    <xf numFmtId="9" fontId="24" fillId="7" borderId="0" applyAlignment="1" pivotButton="0" quotePrefix="1" xfId="0">
      <alignment horizontal="center" vertical="center"/>
    </xf>
    <xf numFmtId="9" fontId="24" fillId="7" borderId="0" applyAlignment="1" pivotButton="0" quotePrefix="1" xfId="0">
      <alignment vertical="center"/>
    </xf>
    <xf numFmtId="0" fontId="0" fillId="0" borderId="23" applyAlignment="1" pivotButton="0" quotePrefix="0" xfId="0">
      <alignment horizontal="righ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0" fontId="0" fillId="6" borderId="0" applyAlignment="1" pivotButton="0" quotePrefix="0" xfId="0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1" fontId="0" fillId="0" borderId="0" applyAlignment="1" pivotButton="0" quotePrefix="0" xfId="0">
      <alignment horizontal="center"/>
    </xf>
    <xf numFmtId="1" fontId="0" fillId="0" borderId="0" pivotButton="0" quotePrefix="0" xfId="0"/>
    <xf numFmtId="0" fontId="0" fillId="17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6" fillId="7" borderId="1" applyAlignment="1" pivotButton="0" quotePrefix="0" xfId="3">
      <alignment vertical="center"/>
    </xf>
    <xf numFmtId="0" fontId="25" fillId="0" borderId="35" applyAlignment="1" pivotButton="0" quotePrefix="1" xfId="0">
      <alignment horizontal="right"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1" fillId="7" borderId="1" applyAlignment="1" pivotButton="0" quotePrefix="0" xfId="3">
      <alignment vertical="center"/>
    </xf>
    <xf numFmtId="0" fontId="24" fillId="7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right" vertical="center"/>
    </xf>
    <xf numFmtId="9" fontId="24" fillId="0" borderId="0" applyAlignment="1" pivotButton="0" quotePrefix="1" xfId="0">
      <alignment horizontal="right" vertical="center"/>
    </xf>
    <xf numFmtId="16" fontId="24" fillId="7" borderId="0" applyAlignment="1" pivotButton="0" quotePrefix="1" xfId="0">
      <alignment horizontal="center" vertical="center"/>
    </xf>
    <xf numFmtId="0" fontId="26" fillId="0" borderId="1" applyAlignment="1" pivotButton="0" quotePrefix="0" xfId="3">
      <alignment vertical="center"/>
    </xf>
    <xf numFmtId="0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right" vertical="center" wrapText="1"/>
    </xf>
    <xf numFmtId="0" fontId="36" fillId="18" borderId="0" applyAlignment="1" pivotButton="0" quotePrefix="0" xfId="0">
      <alignment horizontal="left" vertical="center"/>
    </xf>
    <xf numFmtId="0" fontId="36" fillId="18" borderId="0" applyAlignment="1" pivotButton="0" quotePrefix="0" xfId="0">
      <alignment horizontal="right" vertical="center"/>
    </xf>
    <xf numFmtId="0" fontId="37" fillId="19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/>
    </xf>
    <xf numFmtId="0" fontId="0" fillId="20" borderId="17" applyAlignment="1" pivotButton="0" quotePrefix="0" xfId="0">
      <alignment horizontal="center" vertical="center" wrapText="1"/>
    </xf>
    <xf numFmtId="0" fontId="38" fillId="21" borderId="51" applyAlignment="1" pivotButton="0" quotePrefix="0" xfId="0">
      <alignment horizontal="center" vertical="center" wrapText="1"/>
    </xf>
    <xf numFmtId="0" fontId="0" fillId="17" borderId="52" applyAlignment="1" pivotButton="0" quotePrefix="0" xfId="0">
      <alignment horizontal="center" vertical="center" wrapText="1"/>
    </xf>
    <xf numFmtId="0" fontId="0" fillId="17" borderId="53" applyAlignment="1" pivotButton="0" quotePrefix="0" xfId="0">
      <alignment horizontal="center" vertical="center" wrapText="1"/>
    </xf>
    <xf numFmtId="0" fontId="0" fillId="20" borderId="54" applyAlignment="1" pivotButton="0" quotePrefix="0" xfId="0">
      <alignment horizontal="center" vertical="center" wrapText="1"/>
    </xf>
    <xf numFmtId="0" fontId="36" fillId="18" borderId="0" applyAlignment="1" pivotButton="0" quotePrefix="0" xfId="0">
      <alignment horizontal="left" vertical="center" wrapText="1"/>
    </xf>
    <xf numFmtId="0" fontId="11" fillId="9" borderId="0" applyAlignment="1" pivotButton="0" quotePrefix="0" xfId="0">
      <alignment horizontal="center" vertical="center"/>
    </xf>
    <xf numFmtId="20" fontId="0" fillId="0" borderId="0" pivotButton="0" quotePrefix="0" xfId="0"/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11" fillId="9" borderId="1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8" fillId="0" borderId="14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164" fontId="10" fillId="0" borderId="64" applyAlignment="1" pivotButton="0" quotePrefix="0" xfId="0">
      <alignment horizont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5" fillId="9" borderId="18" applyAlignment="1" pivotButton="0" quotePrefix="0" xfId="0">
      <alignment horizontal="center" vertical="center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54"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general" vertical="bottom" wrapText="1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1" formatCode="0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pivotCacheDefinition" Target="/xl/pivotCache/pivotCacheDefinition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pivotSource>
    <name>[2025_02_Less is more.xlsm]Grafici monitoraggio!Tabella pivot4</name>
    <fmtId val="0"/>
  </pivotSource>
  <chart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it-IT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it-IT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it-IT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3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it-IT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4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it-IT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5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it-IT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6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it-IT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7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it-IT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8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9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2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3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4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5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howLegendKey val="0"/>
          <showVal val="0"/>
          <showCatName val="0"/>
          <showSerName val="0"/>
          <showPercent val="0"/>
          <showBubbleSize val="0"/>
        </dLbl>
      </pivotFmt>
      <pivotFmt>
        <idx val="16"/>
        <spPr>
          <a:ln xmlns:a="http://schemas.openxmlformats.org/drawingml/2006/main"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7"/>
        <spPr>
          <a:ln xmlns:a="http://schemas.openxmlformats.org/drawingml/2006/main"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lineChart>
        <grouping val="stacked"/>
        <varyColors val="0"/>
        <ser>
          <idx val="0"/>
          <order val="0"/>
          <tx>
            <strRef>
              <f>'Grafici monitoraggio'!$B$3</f>
              <strCache>
                <ptCount val="1"/>
                <pt idx="0">
                  <v>Somma di Raggiungimento obiettivi 1/10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'Grafici monitoraggio'!$A$4:$A$24</f>
              <strCache>
                <ptCount val="20"/>
                <pt idx="0">
                  <v>12/02/2025</v>
                </pt>
                <pt idx="1">
                  <v>17/02/2025</v>
                </pt>
                <pt idx="2">
                  <v>22/02/2025</v>
                </pt>
                <pt idx="3">
                  <v>27/02/2025</v>
                </pt>
                <pt idx="4">
                  <v>04/03/2025</v>
                </pt>
                <pt idx="5">
                  <v>09/03/2025</v>
                </pt>
                <pt idx="6">
                  <v>14/03/2025</v>
                </pt>
                <pt idx="7">
                  <v>19/03/2025</v>
                </pt>
                <pt idx="8">
                  <v>24/03/2025</v>
                </pt>
                <pt idx="9">
                  <v>29/03/2025</v>
                </pt>
                <pt idx="10">
                  <v>03/04/2025</v>
                </pt>
                <pt idx="11">
                  <v>08/04/2025</v>
                </pt>
                <pt idx="12">
                  <v>13/04/2025</v>
                </pt>
                <pt idx="13">
                  <v>18/04/2025</v>
                </pt>
                <pt idx="14">
                  <v>23/04/2025</v>
                </pt>
                <pt idx="15">
                  <v>28/04/2025</v>
                </pt>
                <pt idx="16">
                  <v>03/05/2025</v>
                </pt>
                <pt idx="17">
                  <v>08/05/2025</v>
                </pt>
                <pt idx="18">
                  <v>13/05/2025</v>
                </pt>
                <pt idx="19">
                  <v>(vuoto)</v>
                </pt>
              </strCache>
            </strRef>
          </cat>
          <val>
            <numRef>
              <f>'Grafici monitoraggio'!$B$4:$B$24</f>
              <numCache>
                <formatCode>General</formatCode>
                <ptCount val="20"/>
                <pt idx="0">
                  <v>5</v>
                </pt>
                <pt idx="1">
                  <v>2</v>
                </pt>
                <pt idx="2">
                  <v>3</v>
                </pt>
                <pt idx="3">
                  <v>2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5</v>
                </pt>
                <pt idx="8">
                  <v>2</v>
                </pt>
                <pt idx="9">
                  <v>5</v>
                </pt>
                <pt idx="10">
                  <v>4</v>
                </pt>
                <pt idx="11">
                  <v>2</v>
                </pt>
                <pt idx="12">
                  <v>7</v>
                </pt>
                <pt idx="13">
                  <v>8</v>
                </pt>
                <pt idx="14">
                  <v>9</v>
                </pt>
                <pt idx="15">
                  <v>5</v>
                </pt>
                <pt idx="16">
                  <v>8</v>
                </pt>
                <pt idx="17">
                  <v>5</v>
                </pt>
                <pt idx="18">
                  <v>9</v>
                </pt>
              </numCache>
            </numRef>
          </val>
          <smooth val="0"/>
        </ser>
        <ser>
          <idx val="1"/>
          <order val="1"/>
          <tx>
            <strRef>
              <f>'Grafici monitoraggio'!$C$3</f>
              <strCache>
                <ptCount val="1"/>
                <pt idx="0">
                  <v>Somma di Livello di energia 1/10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'Grafici monitoraggio'!$A$4:$A$24</f>
              <strCache>
                <ptCount val="20"/>
                <pt idx="0">
                  <v>12/02/2025</v>
                </pt>
                <pt idx="1">
                  <v>17/02/2025</v>
                </pt>
                <pt idx="2">
                  <v>22/02/2025</v>
                </pt>
                <pt idx="3">
                  <v>27/02/2025</v>
                </pt>
                <pt idx="4">
                  <v>04/03/2025</v>
                </pt>
                <pt idx="5">
                  <v>09/03/2025</v>
                </pt>
                <pt idx="6">
                  <v>14/03/2025</v>
                </pt>
                <pt idx="7">
                  <v>19/03/2025</v>
                </pt>
                <pt idx="8">
                  <v>24/03/2025</v>
                </pt>
                <pt idx="9">
                  <v>29/03/2025</v>
                </pt>
                <pt idx="10">
                  <v>03/04/2025</v>
                </pt>
                <pt idx="11">
                  <v>08/04/2025</v>
                </pt>
                <pt idx="12">
                  <v>13/04/2025</v>
                </pt>
                <pt idx="13">
                  <v>18/04/2025</v>
                </pt>
                <pt idx="14">
                  <v>23/04/2025</v>
                </pt>
                <pt idx="15">
                  <v>28/04/2025</v>
                </pt>
                <pt idx="16">
                  <v>03/05/2025</v>
                </pt>
                <pt idx="17">
                  <v>08/05/2025</v>
                </pt>
                <pt idx="18">
                  <v>13/05/2025</v>
                </pt>
                <pt idx="19">
                  <v>(vuoto)</v>
                </pt>
              </strCache>
            </strRef>
          </cat>
          <val>
            <numRef>
              <f>'Grafici monitoraggio'!$C$4:$C$24</f>
              <numCache>
                <formatCode>General</formatCode>
                <ptCount val="20"/>
                <pt idx="0">
                  <v>2</v>
                </pt>
                <pt idx="1">
                  <v>8</v>
                </pt>
                <pt idx="2">
                  <v>4</v>
                </pt>
                <pt idx="3">
                  <v>7</v>
                </pt>
                <pt idx="4">
                  <v>8</v>
                </pt>
                <pt idx="5">
                  <v>5</v>
                </pt>
                <pt idx="6">
                  <v>4</v>
                </pt>
                <pt idx="7">
                  <v>2</v>
                </pt>
                <pt idx="8">
                  <v>3</v>
                </pt>
                <pt idx="9">
                  <v>2</v>
                </pt>
                <pt idx="10">
                  <v>5</v>
                </pt>
                <pt idx="11">
                  <v>4</v>
                </pt>
                <pt idx="12">
                  <v>5</v>
                </pt>
                <pt idx="13">
                  <v>2</v>
                </pt>
                <pt idx="14">
                  <v>6</v>
                </pt>
                <pt idx="15">
                  <v>5</v>
                </pt>
                <pt idx="16">
                  <v>5</v>
                </pt>
                <pt idx="17">
                  <v>5</v>
                </pt>
                <pt idx="18">
                  <v>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968204528"/>
        <axId val="1968202128"/>
      </lineChart>
      <catAx>
        <axId val="19682045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it-IT"/>
          </a:p>
        </txPr>
        <crossAx val="1968202128"/>
        <crosses val="autoZero"/>
        <auto val="1"/>
        <lblAlgn val="ctr"/>
        <lblOffset val="100"/>
        <noMultiLvlLbl val="0"/>
      </catAx>
      <valAx>
        <axId val="196820212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it-IT"/>
          </a:p>
        </txPr>
        <crossAx val="196820452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it-IT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7</col>
      <colOff>30480</colOff>
      <row>5</row>
      <rowOff>45720</rowOff>
    </from>
    <to>
      <col>20</col>
      <colOff>281940</colOff>
      <row>20</row>
      <rowOff>45720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Stanislao Zama" refreshedDate="45700.43517453704" createdVersion="8" refreshedVersion="8" minRefreshableVersion="3" recordCount="173" r:id="rId1">
  <cacheSource type="worksheet">
    <worksheetSource name="Tabella_Monitoraggio"/>
  </cacheSource>
  <cacheFields count="9">
    <cacheField name="Data" uniqueList="1" numFmtId="0" sqlType="0" hierarchy="0" level="0" databaseField="1">
      <sharedItems count="20" containsBlank="1" containsDate="1" containsNonDate="0" containsString="0" minDate="2025-02-12T00:00:00" maxDate="2025-05-14T00:00:00">
        <d v="2025-02-12T00:00:00"/>
        <d v="2025-02-17T00:00:00"/>
        <d v="2025-02-22T00:00:00"/>
        <d v="2025-02-27T00:00:00"/>
        <d v="2025-03-04T00:00:00"/>
        <d v="2025-03-09T00:00:00"/>
        <d v="2025-03-14T00:00:00"/>
        <d v="2025-03-19T00:00:00"/>
        <d v="2025-03-24T00:00:00"/>
        <d v="2025-03-29T00:00:00"/>
        <d v="2025-04-03T00:00:00"/>
        <d v="2025-04-08T00:00:00"/>
        <d v="2025-04-13T00:00:00"/>
        <d v="2025-04-18T00:00:00"/>
        <d v="2025-04-23T00:00:00"/>
        <d v="2025-04-28T00:00:00"/>
        <d v="2025-05-03T00:00:00"/>
        <d v="2025-05-08T00:00:00"/>
        <d v="2025-05-13T00:00:00"/>
        <m/>
      </sharedItems>
    </cacheField>
    <cacheField name="Calendario _x000a_compilato?" uniqueList="1" numFmtId="0" sqlType="0" hierarchy="0" level="0" databaseField="1">
      <sharedItems count="0"/>
    </cacheField>
    <cacheField name="Obiettivi allenamento" uniqueList="1" numFmtId="0" sqlType="0" hierarchy="0" level="0" databaseField="1">
      <sharedItems count="0" containsBlank="1" containsNonDate="0" containsString="0"/>
    </cacheField>
    <cacheField name="Livello di energia 1/10" uniqueList="1" numFmtId="0" sqlType="0" hierarchy="0" level="0" databaseField="1">
      <sharedItems count="8" containsBlank="1" containsInteger="1" containsNumber="1" containsString="0" minValue="2" maxValue="8">
        <n v="2"/>
        <n v="8"/>
        <n v="4"/>
        <n v="7"/>
        <n v="5"/>
        <n v="3"/>
        <n v="6"/>
        <m/>
      </sharedItems>
    </cacheField>
    <cacheField name="Dolori 0/10" uniqueList="1" numFmtId="0" sqlType="0" hierarchy="0" level="0" databaseField="1">
      <sharedItems count="0" containsBlank="1" containsNonDate="0" containsString="0"/>
    </cacheField>
    <cacheField name="Raggiungimento obiettivi 1/10" uniqueList="1" numFmtId="0" sqlType="0" hierarchy="0" level="0" databaseField="1">
      <sharedItems count="9" containsBlank="1" containsInteger="1" containsNumber="1" containsString="0" minValue="2" maxValue="9">
        <n v="5"/>
        <n v="2"/>
        <n v="3"/>
        <n v="4"/>
        <n v="6"/>
        <n v="7"/>
        <n v="8"/>
        <n v="9"/>
        <m/>
      </sharedItems>
    </cacheField>
    <cacheField name="Durata (minuti)" uniqueList="1" numFmtId="0" sqlType="0" hierarchy="0" level="0" databaseField="1">
      <sharedItems count="0" containsBlank="1" containsNonDate="0" containsString="0"/>
    </cacheField>
    <cacheField name="RPE" uniqueList="1" numFmtId="0" sqlType="0" hierarchy="0" level="0" databaseField="1">
      <sharedItems count="0" containsBlank="1" containsNonDate="0" containsString="0"/>
    </cacheField>
    <cacheField name="sRPE" uniqueList="1" numFmtId="0" sqlType="0" hierarchy="0" level="0" databaseField="1">
      <sharedItems count="1" containsInteger="1" containsNumber="1" containsSemiMixedTypes="0" containsString="0" minValue="0" maxValue="0">
        <n v="0"/>
      </sharedItems>
    </cacheField>
  </cacheFields>
</pivotCacheDefinition>
</file>

<file path=xl/pivotCache/pivotCacheRecords1.xml><?xml version="1.0" encoding="utf-8"?>
<pivotCacheRecords xmlns="http://schemas.openxmlformats.org/spreadsheetml/2006/main" count="173">
  <r>
    <x v="0"/>
    <b v="0"/>
    <m/>
    <x v="0"/>
    <m/>
    <x v="0"/>
    <m/>
    <m/>
    <x v="0"/>
  </r>
  <r>
    <x v="1"/>
    <b v="0"/>
    <m/>
    <x v="1"/>
    <m/>
    <x v="1"/>
    <m/>
    <m/>
    <x v="0"/>
  </r>
  <r>
    <x v="2"/>
    <b v="0"/>
    <m/>
    <x v="2"/>
    <m/>
    <x v="2"/>
    <m/>
    <m/>
    <x v="0"/>
  </r>
  <r>
    <x v="3"/>
    <b v="0"/>
    <m/>
    <x v="3"/>
    <m/>
    <x v="1"/>
    <m/>
    <m/>
    <x v="0"/>
  </r>
  <r>
    <x v="4"/>
    <b v="0"/>
    <m/>
    <x v="1"/>
    <m/>
    <x v="3"/>
    <m/>
    <m/>
    <x v="0"/>
  </r>
  <r>
    <x v="5"/>
    <b v="0"/>
    <m/>
    <x v="4"/>
    <m/>
    <x v="0"/>
    <m/>
    <m/>
    <x v="0"/>
  </r>
  <r>
    <x v="6"/>
    <b v="0"/>
    <m/>
    <x v="2"/>
    <m/>
    <x v="4"/>
    <m/>
    <m/>
    <x v="0"/>
  </r>
  <r>
    <x v="7"/>
    <b v="0"/>
    <m/>
    <x v="0"/>
    <m/>
    <x v="0"/>
    <m/>
    <m/>
    <x v="0"/>
  </r>
  <r>
    <x v="8"/>
    <b v="0"/>
    <m/>
    <x v="5"/>
    <m/>
    <x v="1"/>
    <m/>
    <m/>
    <x v="0"/>
  </r>
  <r>
    <x v="9"/>
    <b v="0"/>
    <m/>
    <x v="0"/>
    <m/>
    <x v="0"/>
    <m/>
    <m/>
    <x v="0"/>
  </r>
  <r>
    <x v="10"/>
    <b v="0"/>
    <m/>
    <x v="4"/>
    <m/>
    <x v="3"/>
    <m/>
    <m/>
    <x v="0"/>
  </r>
  <r>
    <x v="11"/>
    <b v="0"/>
    <m/>
    <x v="2"/>
    <m/>
    <x v="1"/>
    <m/>
    <m/>
    <x v="0"/>
  </r>
  <r>
    <x v="12"/>
    <b v="0"/>
    <m/>
    <x v="4"/>
    <m/>
    <x v="5"/>
    <m/>
    <m/>
    <x v="0"/>
  </r>
  <r>
    <x v="13"/>
    <b v="0"/>
    <m/>
    <x v="0"/>
    <m/>
    <x v="6"/>
    <m/>
    <m/>
    <x v="0"/>
  </r>
  <r>
    <x v="14"/>
    <b v="0"/>
    <m/>
    <x v="6"/>
    <m/>
    <x v="7"/>
    <m/>
    <m/>
    <x v="0"/>
  </r>
  <r>
    <x v="15"/>
    <b v="0"/>
    <m/>
    <x v="4"/>
    <m/>
    <x v="0"/>
    <m/>
    <m/>
    <x v="0"/>
  </r>
  <r>
    <x v="16"/>
    <b v="0"/>
    <m/>
    <x v="4"/>
    <m/>
    <x v="6"/>
    <m/>
    <m/>
    <x v="0"/>
  </r>
  <r>
    <x v="17"/>
    <b v="0"/>
    <m/>
    <x v="4"/>
    <m/>
    <x v="0"/>
    <m/>
    <m/>
    <x v="0"/>
  </r>
  <r>
    <x v="18"/>
    <b v="0"/>
    <m/>
    <x v="0"/>
    <m/>
    <x v="7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  <r>
    <x v="19"/>
    <b v="0"/>
    <m/>
    <x v="7"/>
    <m/>
    <x v="8"/>
    <m/>
    <m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ella pivot4" cacheId="183" dataOnRows="0" dataCaption="Valori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5" fieldListSortAscending="0" mdxSubqueries="0" applyNumberFormats="0" applyBorderFormats="0" applyFontFormats="0" applyPatternFormats="0" applyAlignmentFormats="0" applyWidthHeightFormats="1" r:id="rId1">
  <location ref="A3:C24" firstHeaderRow="0" firstDataRow="1" firstDataCol="1"/>
  <pivotFields count="9">
    <pivotField axis="axisRow" showDropDowns="1" compact="1" outline="1" subtotalTop="1" dragToRow="1" dragToCol="1" dragToPage="1" dragToData="1" dragOff="1" showAll="0" topAutoShow="1" itemPageCount="10" sortType="ascending" defaultSubtotal="1">
      <items count="2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>
      <items count="9">
        <item t="data" sd="1" x="7"/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>
      <items count="10">
        <item t="data" sd="1" x="8"/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21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Somma di Raggiungimento obiettivi 1/10" fld="5" subtotal="sum" showDataAs="normal" baseField="0" baseItem="0"/>
    <dataField name="Somma di Livello di energia 1/10" fld="3" subtotal="sum" showDataAs="normal" baseField="0" baseItem="0"/>
  </dataFields>
  <chartFormats count="2">
    <chartFormat chart="0" format="16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0" format="17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pivotTable" Target="/xl/pivotTables/pivotTable1.xml" Id="rId2"/></Relationships>
</file>

<file path=xl/worksheets/sheet1.xml><?xml version="1.0" encoding="utf-8"?>
<worksheet xmlns="http://schemas.openxmlformats.org/spreadsheetml/2006/main">
  <sheetPr codeName="Foglio12">
    <outlinePr summaryBelow="1" summaryRight="1"/>
    <pageSetUpPr/>
  </sheetPr>
  <dimension ref="A3:C24"/>
  <sheetViews>
    <sheetView zoomScaleNormal="100" workbookViewId="0">
      <selection activeCell="W7" sqref="W7"/>
    </sheetView>
  </sheetViews>
  <sheetFormatPr baseColWidth="8" defaultRowHeight="15"/>
  <cols>
    <col width="17.28515625" bestFit="1" customWidth="1" min="1" max="1"/>
    <col width="36" bestFit="1" customWidth="1" min="2" max="2"/>
    <col width="28.7109375" bestFit="1" customWidth="1" min="3" max="3"/>
    <col width="2" bestFit="1" customWidth="1" min="4" max="4"/>
    <col width="3" bestFit="1" customWidth="1" min="5" max="5"/>
    <col width="2" bestFit="1" customWidth="1" min="6" max="6"/>
    <col width="3" bestFit="1" customWidth="1" min="7" max="7"/>
    <col width="2" bestFit="1" customWidth="1" min="8" max="9"/>
    <col width="17.28515625" bestFit="1" customWidth="1" min="10" max="10"/>
    <col width="4" bestFit="1" customWidth="1" min="11" max="11"/>
    <col width="2" bestFit="1" customWidth="1" min="12" max="13"/>
    <col width="7.7109375" bestFit="1" customWidth="1" min="14" max="14"/>
    <col width="4" bestFit="1" customWidth="1" min="15" max="15"/>
    <col width="7.7109375" bestFit="1" customWidth="1" min="16" max="16"/>
    <col width="4" bestFit="1" customWidth="1" min="17" max="17"/>
    <col width="2" bestFit="1" customWidth="1" min="18" max="20"/>
    <col width="7.7109375" bestFit="1" customWidth="1" min="21" max="21"/>
    <col width="4" bestFit="1" customWidth="1" min="22" max="22"/>
    <col width="7.7109375" bestFit="1" customWidth="1" min="23" max="23"/>
    <col width="4" bestFit="1" customWidth="1" min="24" max="24"/>
    <col width="7.7109375" bestFit="1" customWidth="1" min="25" max="25"/>
    <col width="17.28515625" bestFit="1" customWidth="1" min="26" max="26"/>
  </cols>
  <sheetData>
    <row r="3">
      <c r="A3" s="233" t="inlineStr">
        <is>
          <t>Etichette di riga</t>
        </is>
      </c>
      <c r="B3" t="inlineStr">
        <is>
          <t>Somma di Raggiungimento obiettivi 1/10</t>
        </is>
      </c>
      <c r="C3" t="inlineStr">
        <is>
          <t>Somma di Livello di energia 1/10</t>
        </is>
      </c>
    </row>
    <row r="4">
      <c r="A4" s="235" t="n">
        <v>45700</v>
      </c>
      <c r="B4" t="n">
        <v>5</v>
      </c>
      <c r="C4" t="n">
        <v>2</v>
      </c>
    </row>
    <row r="5">
      <c r="A5" s="235" t="n">
        <v>45705</v>
      </c>
      <c r="B5" t="n">
        <v>2</v>
      </c>
      <c r="C5" t="n">
        <v>8</v>
      </c>
    </row>
    <row r="6">
      <c r="A6" s="235" t="n">
        <v>45710</v>
      </c>
      <c r="B6" t="n">
        <v>3</v>
      </c>
      <c r="C6" t="n">
        <v>4</v>
      </c>
    </row>
    <row r="7">
      <c r="A7" s="235" t="n">
        <v>45715</v>
      </c>
      <c r="B7" t="n">
        <v>2</v>
      </c>
      <c r="C7" t="n">
        <v>7</v>
      </c>
    </row>
    <row r="8">
      <c r="A8" s="235" t="n">
        <v>45720</v>
      </c>
      <c r="B8" t="n">
        <v>4</v>
      </c>
      <c r="C8" t="n">
        <v>8</v>
      </c>
    </row>
    <row r="9">
      <c r="A9" s="235" t="n">
        <v>45725</v>
      </c>
      <c r="B9" t="n">
        <v>5</v>
      </c>
      <c r="C9" t="n">
        <v>5</v>
      </c>
    </row>
    <row r="10">
      <c r="A10" s="235" t="n">
        <v>45730</v>
      </c>
      <c r="B10" t="n">
        <v>6</v>
      </c>
      <c r="C10" t="n">
        <v>4</v>
      </c>
    </row>
    <row r="11">
      <c r="A11" s="235" t="n">
        <v>45735</v>
      </c>
      <c r="B11" t="n">
        <v>5</v>
      </c>
      <c r="C11" t="n">
        <v>2</v>
      </c>
    </row>
    <row r="12">
      <c r="A12" s="235" t="n">
        <v>45740</v>
      </c>
      <c r="B12" t="n">
        <v>2</v>
      </c>
      <c r="C12" t="n">
        <v>3</v>
      </c>
    </row>
    <row r="13">
      <c r="A13" s="235" t="n">
        <v>45745</v>
      </c>
      <c r="B13" t="n">
        <v>5</v>
      </c>
      <c r="C13" t="n">
        <v>2</v>
      </c>
    </row>
    <row r="14">
      <c r="A14" s="235" t="n">
        <v>45750</v>
      </c>
      <c r="B14" t="n">
        <v>4</v>
      </c>
      <c r="C14" t="n">
        <v>5</v>
      </c>
    </row>
    <row r="15">
      <c r="A15" s="235" t="n">
        <v>45755</v>
      </c>
      <c r="B15" t="n">
        <v>2</v>
      </c>
      <c r="C15" t="n">
        <v>4</v>
      </c>
    </row>
    <row r="16">
      <c r="A16" s="235" t="n">
        <v>45760</v>
      </c>
      <c r="B16" t="n">
        <v>7</v>
      </c>
      <c r="C16" t="n">
        <v>5</v>
      </c>
    </row>
    <row r="17">
      <c r="A17" s="235" t="n">
        <v>45765</v>
      </c>
      <c r="B17" t="n">
        <v>8</v>
      </c>
      <c r="C17" t="n">
        <v>2</v>
      </c>
    </row>
    <row r="18">
      <c r="A18" s="235" t="n">
        <v>45770</v>
      </c>
      <c r="B18" t="n">
        <v>9</v>
      </c>
      <c r="C18" t="n">
        <v>6</v>
      </c>
    </row>
    <row r="19">
      <c r="A19" s="235" t="n">
        <v>45775</v>
      </c>
      <c r="B19" t="n">
        <v>5</v>
      </c>
      <c r="C19" t="n">
        <v>5</v>
      </c>
    </row>
    <row r="20">
      <c r="A20" s="235" t="n">
        <v>45780</v>
      </c>
      <c r="B20" t="n">
        <v>8</v>
      </c>
      <c r="C20" t="n">
        <v>5</v>
      </c>
    </row>
    <row r="21">
      <c r="A21" s="235" t="n">
        <v>45785</v>
      </c>
      <c r="B21" t="n">
        <v>5</v>
      </c>
      <c r="C21" t="n">
        <v>5</v>
      </c>
    </row>
    <row r="22">
      <c r="A22" s="235" t="n">
        <v>45790</v>
      </c>
      <c r="B22" t="n">
        <v>9</v>
      </c>
      <c r="C22" t="n">
        <v>2</v>
      </c>
    </row>
    <row r="23">
      <c r="A23" s="234" t="inlineStr">
        <is>
          <t>(vuoto)</t>
        </is>
      </c>
    </row>
    <row r="24">
      <c r="A24" s="234" t="inlineStr">
        <is>
          <t>Totale complessivo</t>
        </is>
      </c>
      <c r="B24" t="n">
        <v>96</v>
      </c>
      <c r="C24" t="n">
        <v>84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2026-04-16T10:15:21Z</dcterms:modified>
  <cp:lastModifiedBy>Samuele Malavasi</cp:lastModifiedBy>
</cp:coreProperties>
</file>