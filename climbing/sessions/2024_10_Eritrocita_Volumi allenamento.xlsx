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08" yWindow="-108" windowWidth="23256" windowHeight="12576" tabRatio="600" firstSheet="10"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47">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i val="1"/>
      <color theme="1"/>
      <sz val="11"/>
    </font>
    <font>
      <name val="Rockwell Condensed"/>
      <family val="1"/>
      <color theme="1"/>
      <sz val="8"/>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family val="2"/>
      <sz val="18"/>
      <scheme val="minor"/>
    </font>
    <font>
      <name val="Calibri"/>
      <family val="2"/>
      <color theme="1"/>
      <sz val="18"/>
      <scheme val="minor"/>
    </font>
    <font>
      <name val="Rockwell Condensed"/>
      <family val="1"/>
      <color rgb="FFFF0000"/>
      <sz val="12"/>
    </font>
    <font>
      <name val="Calibri"/>
      <family val="2"/>
      <color rgb="FF0070C0"/>
      <sz val="18"/>
      <scheme val="minor"/>
    </font>
    <font>
      <name val="Calibri"/>
      <family val="2"/>
      <color theme="10"/>
      <sz val="18"/>
      <scheme val="minor"/>
    </font>
    <font>
      <name val="Calibri Light"/>
      <color theme="1"/>
      <sz val="11"/>
      <scheme val="major"/>
    </font>
    <font>
      <name val="Calibri Light"/>
      <color rgb="FF000000"/>
      <sz val="11"/>
      <scheme val="major"/>
    </font>
    <font>
      <name val="Calibri"/>
      <family val="2"/>
      <sz val="12"/>
      <scheme val="minor"/>
    </font>
    <font>
      <name val="Calibri"/>
      <family val="2"/>
      <color theme="1"/>
      <sz val="12"/>
      <scheme val="minor"/>
    </font>
    <font>
      <name val="Calibri"/>
      <family val="2"/>
      <color theme="10"/>
      <sz val="12"/>
      <scheme val="minor"/>
    </font>
    <font>
      <name val="Calibri"/>
      <family val="2"/>
      <color rgb="FF0070C0"/>
      <sz val="12"/>
      <scheme val="minor"/>
    </font>
  </fonts>
  <fills count="22">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theme="9" tint="0.7999816888943144"/>
        <bgColor indexed="64"/>
      </patternFill>
    </fill>
    <fill>
      <patternFill patternType="solid">
        <fgColor theme="9"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75">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n">
        <color auto="1"/>
      </left>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bottom/>
      <diagonal/>
    </border>
    <border>
      <left style="thin">
        <color indexed="64"/>
      </left>
      <right style="thin">
        <color indexed="64"/>
      </right>
      <top/>
      <bottom style="thick">
        <color indexed="64"/>
      </bottom>
      <diagonal/>
    </border>
    <border>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8" fillId="0" borderId="0"/>
    <xf numFmtId="0" fontId="19" fillId="0" borderId="47"/>
    <xf numFmtId="0" fontId="22" fillId="0" borderId="0"/>
    <xf numFmtId="0" fontId="29" fillId="14" borderId="0"/>
    <xf numFmtId="0" fontId="30" fillId="16" borderId="0"/>
  </cellStyleXfs>
  <cellXfs count="379">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1" fillId="7" borderId="12"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17" fontId="0" fillId="0" borderId="0" applyAlignment="1" pivotButton="0" quotePrefix="0" xfId="0">
      <alignment horizontal="righ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23" fillId="0" borderId="0" applyAlignment="1" pivotButton="0" quotePrefix="0" xfId="0">
      <alignment horizontal="left" vertical="center" wrapText="1"/>
    </xf>
    <xf numFmtId="0" fontId="1" fillId="0" borderId="25" applyAlignment="1" pivotButton="0" quotePrefix="0" xfId="0">
      <alignment horizontal="center" vertical="center"/>
    </xf>
    <xf numFmtId="0" fontId="1" fillId="0" borderId="1" applyAlignment="1" pivotButton="0" quotePrefix="0" xfId="0">
      <alignment horizontal="center" vertical="center"/>
    </xf>
    <xf numFmtId="0" fontId="1" fillId="7" borderId="0" applyAlignment="1" pivotButton="0" quotePrefix="0" xfId="0">
      <alignment horizontal="center" vertical="center"/>
    </xf>
    <xf numFmtId="0" fontId="1" fillId="0" borderId="1" applyAlignment="1" pivotButton="0" quotePrefix="0" xfId="0">
      <alignment vertical="center"/>
    </xf>
    <xf numFmtId="0" fontId="24" fillId="7" borderId="1" applyAlignment="1" pivotButton="0" quotePrefix="0" xfId="0">
      <alignment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24" fillId="0" borderId="40" applyAlignment="1" pivotButton="0" quotePrefix="0" xfId="0">
      <alignment vertical="center"/>
    </xf>
    <xf numFmtId="49" fontId="24" fillId="0" borderId="25" applyAlignment="1" pivotButton="0" quotePrefix="0" xfId="0">
      <alignment horizontal="center" vertical="center"/>
    </xf>
    <xf numFmtId="49" fontId="24" fillId="0" borderId="39" applyAlignment="1" pivotButton="0" quotePrefix="0" xfId="0">
      <alignment horizontal="center" vertical="center"/>
    </xf>
    <xf numFmtId="0" fontId="24" fillId="0" borderId="39" applyAlignment="1" pivotButton="0" quotePrefix="0" xfId="0">
      <alignment horizontal="center" vertical="center"/>
    </xf>
    <xf numFmtId="0" fontId="24" fillId="0" borderId="40" applyAlignment="1" pivotButton="0" quotePrefix="0" xfId="0">
      <alignment horizontal="center" vertical="center"/>
    </xf>
    <xf numFmtId="0" fontId="23" fillId="0" borderId="40" applyAlignment="1" pivotButton="0" quotePrefix="0" xfId="0">
      <alignment horizontal="left" vertical="center" wrapText="1"/>
    </xf>
    <xf numFmtId="0" fontId="1" fillId="7" borderId="0" applyAlignment="1" pivotButton="0" quotePrefix="0" xfId="0">
      <alignment vertical="center" wrapText="1"/>
    </xf>
    <xf numFmtId="0" fontId="23" fillId="7" borderId="1" applyAlignment="1" pivotButton="0" quotePrefix="0" xfId="0">
      <alignment vertical="center"/>
    </xf>
    <xf numFmtId="0" fontId="24" fillId="0" borderId="1" applyAlignment="1" pivotButton="0" quotePrefix="0" xfId="3">
      <alignment vertical="center"/>
    </xf>
    <xf numFmtId="0" fontId="0" fillId="0" borderId="14" applyAlignment="1" pivotButton="0" quotePrefix="0" xfId="0">
      <alignment horizontal="center"/>
    </xf>
    <xf numFmtId="0" fontId="1" fillId="0" borderId="0" applyAlignment="1" pivotButton="0" quotePrefix="0" xfId="0">
      <alignment horizontal="left" vertical="top" wrapText="1"/>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25" fillId="0" borderId="0" applyAlignment="1" pivotButton="0" quotePrefix="0" xfId="0">
      <alignment horizontal="right" vertical="center" wrapText="1"/>
    </xf>
    <xf numFmtId="0" fontId="9" fillId="0" borderId="0" applyAlignment="1" pivotButton="0" quotePrefix="0" xfId="0">
      <alignment horizontal="righ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26" fillId="0" borderId="35" applyAlignment="1" pivotButton="0" quotePrefix="0" xfId="0">
      <alignment horizontal="right" vertical="center"/>
    </xf>
    <xf numFmtId="1" fontId="9" fillId="7" borderId="16" applyAlignment="1" pivotButton="0" quotePrefix="0" xfId="0">
      <alignment horizontal="center" vertical="center"/>
    </xf>
    <xf numFmtId="0" fontId="0" fillId="7" borderId="0" pivotButton="0" quotePrefix="0" xfId="0"/>
    <xf numFmtId="0" fontId="26" fillId="7" borderId="35" applyAlignment="1" pivotButton="0" quotePrefix="0" xfId="0">
      <alignment horizontal="right" vertical="center"/>
    </xf>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0" fillId="0" borderId="23" applyAlignment="1" pivotButton="0" quotePrefix="0" xfId="0">
      <alignment horizontal="right" vertical="top" wrapText="1"/>
    </xf>
    <xf numFmtId="0" fontId="0" fillId="0" borderId="0" applyAlignment="1" pivotButton="0" quotePrefix="0" xfId="0">
      <alignment horizontal="lef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9" fillId="7" borderId="16" applyAlignment="1" pivotButton="0" quotePrefix="0" xfId="0">
      <alignment horizontal="right" vertical="center"/>
    </xf>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29" fillId="14" borderId="57" applyAlignment="1" pivotButton="0" quotePrefix="1" xfId="4">
      <alignment horizontal="center"/>
    </xf>
    <xf numFmtId="0" fontId="29" fillId="14" borderId="58" applyAlignment="1" pivotButton="0" quotePrefix="1" xfId="4">
      <alignment horizontal="center"/>
    </xf>
    <xf numFmtId="0" fontId="0" fillId="6" borderId="0" applyAlignment="1" pivotButton="0" quotePrefix="0" xfId="0">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29" fillId="14" borderId="61" applyAlignment="1" pivotButton="0" quotePrefix="1" xfId="4">
      <alignment horizontal="center"/>
    </xf>
    <xf numFmtId="0" fontId="29" fillId="14" borderId="59" applyAlignment="1" pivotButton="0" quotePrefix="1" xfId="4">
      <alignment horizontal="center"/>
    </xf>
    <xf numFmtId="0" fontId="0" fillId="0" borderId="60" applyAlignment="1" pivotButton="0" quotePrefix="1" xfId="0">
      <alignment horizontal="center"/>
    </xf>
    <xf numFmtId="0" fontId="29" fillId="15" borderId="57" applyAlignment="1" pivotButton="0" quotePrefix="0" xfId="4">
      <alignment horizontal="center"/>
    </xf>
    <xf numFmtId="165" fontId="0" fillId="0" borderId="60" pivotButton="0" quotePrefix="0" xfId="0"/>
    <xf numFmtId="0" fontId="30"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1" fillId="5" borderId="23" applyAlignment="1" pivotButton="0" quotePrefix="0" xfId="0">
      <alignment vertical="center" wrapText="1"/>
    </xf>
    <xf numFmtId="0" fontId="32" fillId="6" borderId="23" applyAlignment="1" pivotButton="0" quotePrefix="0" xfId="0">
      <alignment horizontal="right" vertical="top"/>
    </xf>
    <xf numFmtId="0" fontId="32"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1" fontId="0" fillId="0" borderId="0" applyAlignment="1" pivotButton="0" quotePrefix="0" xfId="0">
      <alignment horizontal="center"/>
    </xf>
    <xf numFmtId="1" fontId="0" fillId="0" borderId="0" pivotButton="0" quotePrefix="0" xfId="0"/>
    <xf numFmtId="0" fontId="36" fillId="0" borderId="0" applyAlignment="1" pivotButton="0" quotePrefix="0" xfId="0">
      <alignment horizontal="left" vertical="center" wrapText="1"/>
    </xf>
    <xf numFmtId="0" fontId="37" fillId="0" borderId="25"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right" vertical="center"/>
    </xf>
    <xf numFmtId="0" fontId="37" fillId="0" borderId="1" applyAlignment="1" pivotButton="0" quotePrefix="0" xfId="0">
      <alignment horizontal="center" vertical="center"/>
    </xf>
    <xf numFmtId="0" fontId="37" fillId="7" borderId="1" applyAlignment="1" pivotButton="0" quotePrefix="0" xfId="0">
      <alignment vertical="center"/>
    </xf>
    <xf numFmtId="0" fontId="37" fillId="7" borderId="0" applyAlignment="1" pivotButton="0" quotePrefix="0" xfId="0">
      <alignment horizontal="center" vertical="center"/>
    </xf>
    <xf numFmtId="0" fontId="37" fillId="7" borderId="0" applyAlignment="1" pivotButton="0" quotePrefix="1" xfId="0">
      <alignment horizontal="center" vertical="center"/>
    </xf>
    <xf numFmtId="0" fontId="37" fillId="7" borderId="0" applyAlignment="1" pivotButton="0" quotePrefix="0" xfId="0">
      <alignment horizontal="right" vertical="center"/>
    </xf>
    <xf numFmtId="0" fontId="37" fillId="7" borderId="1" applyAlignment="1" pivotButton="0" quotePrefix="0" xfId="0">
      <alignment horizontal="center" vertical="center"/>
    </xf>
    <xf numFmtId="9" fontId="37" fillId="7" borderId="0" applyAlignment="1" pivotButton="0" quotePrefix="1" xfId="0">
      <alignment horizontal="center" vertical="center"/>
    </xf>
    <xf numFmtId="0" fontId="37" fillId="0" borderId="0" applyAlignment="1" pivotButton="0" quotePrefix="1" xfId="0">
      <alignment horizontal="center" vertical="center"/>
    </xf>
    <xf numFmtId="0" fontId="37" fillId="0" borderId="1" applyAlignment="1" pivotButton="0" quotePrefix="0" xfId="0">
      <alignment vertical="center"/>
    </xf>
    <xf numFmtId="16" fontId="37" fillId="0" borderId="0" applyAlignment="1" pivotButton="0" quotePrefix="1" xfId="0">
      <alignment horizontal="center" vertical="center"/>
    </xf>
    <xf numFmtId="0" fontId="37" fillId="0" borderId="0" applyAlignment="1" pivotButton="0" quotePrefix="0" xfId="0">
      <alignment horizontal="right" vertical="center" wrapText="1"/>
    </xf>
    <xf numFmtId="0" fontId="37" fillId="0" borderId="0" applyAlignment="1" pivotButton="0" quotePrefix="0" xfId="0">
      <alignment horizontal="center" vertical="center" wrapText="1"/>
    </xf>
    <xf numFmtId="0" fontId="37" fillId="7" borderId="0" applyAlignment="1" pivotButton="0" quotePrefix="0" xfId="0">
      <alignment horizontal="right" vertical="center" wrapText="1"/>
    </xf>
    <xf numFmtId="0" fontId="37" fillId="7" borderId="0" applyAlignment="1" pivotButton="0" quotePrefix="0" xfId="0">
      <alignment horizontal="center" vertical="center" wrapText="1"/>
    </xf>
    <xf numFmtId="0" fontId="37" fillId="7" borderId="0" applyAlignment="1" pivotButton="0" quotePrefix="1" xfId="0">
      <alignment horizontal="left" vertical="center"/>
    </xf>
    <xf numFmtId="0" fontId="37" fillId="0" borderId="0" applyAlignment="1" pivotButton="0" quotePrefix="0" xfId="0">
      <alignment vertical="center" wrapText="1"/>
    </xf>
    <xf numFmtId="49" fontId="37" fillId="7" borderId="0" applyAlignment="1" pivotButton="0" quotePrefix="0" xfId="0">
      <alignment horizontal="center" vertical="center"/>
    </xf>
    <xf numFmtId="49" fontId="37" fillId="0" borderId="0" applyAlignment="1" pivotButton="0" quotePrefix="0" xfId="0">
      <alignment horizontal="center" vertical="center"/>
    </xf>
    <xf numFmtId="0" fontId="0" fillId="7" borderId="52" applyAlignment="1" pivotButton="0" quotePrefix="0" xfId="0">
      <alignment horizontal="center" vertical="center" wrapText="1"/>
    </xf>
    <xf numFmtId="0" fontId="26" fillId="0" borderId="35" applyAlignment="1" pivotButton="0" quotePrefix="0" xfId="0">
      <alignment horizontal="center" vertical="center"/>
    </xf>
    <xf numFmtId="0" fontId="9" fillId="7" borderId="35" applyAlignment="1" pivotButton="0" quotePrefix="1" xfId="0">
      <alignment horizontal="center" vertical="center"/>
    </xf>
    <xf numFmtId="0" fontId="38" fillId="0" borderId="1" applyAlignment="1" pivotButton="0" quotePrefix="0" xfId="0">
      <alignment vertical="center"/>
    </xf>
    <xf numFmtId="0" fontId="0" fillId="6" borderId="0" applyAlignment="1" pivotButton="0" quotePrefix="1" xfId="0">
      <alignment horizontal="center"/>
    </xf>
    <xf numFmtId="0" fontId="0" fillId="0" borderId="0" applyAlignment="1" pivotButton="0" quotePrefix="1" xfId="0">
      <alignment horizontal="center"/>
    </xf>
    <xf numFmtId="0" fontId="37" fillId="0" borderId="12" applyAlignment="1" pivotButton="0" quotePrefix="0" xfId="0">
      <alignment vertical="center"/>
    </xf>
    <xf numFmtId="0" fontId="39" fillId="7" borderId="1" applyAlignment="1" pivotButton="0" quotePrefix="0" xfId="0">
      <alignment vertical="center" wrapText="1"/>
    </xf>
    <xf numFmtId="0" fontId="37" fillId="0" borderId="0" applyAlignment="1" pivotButton="0" quotePrefix="0" xfId="0">
      <alignment vertical="center"/>
    </xf>
    <xf numFmtId="0" fontId="39" fillId="0" borderId="1" applyAlignment="1" pivotButton="0" quotePrefix="0" xfId="0">
      <alignment vertical="center"/>
    </xf>
    <xf numFmtId="0" fontId="39" fillId="0" borderId="1" applyAlignment="1" pivotButton="0" quotePrefix="0" xfId="0">
      <alignment vertical="center" wrapText="1"/>
    </xf>
    <xf numFmtId="9" fontId="36" fillId="7" borderId="0" applyAlignment="1" pivotButton="0" quotePrefix="1" xfId="0">
      <alignment vertical="center"/>
    </xf>
    <xf numFmtId="0" fontId="40" fillId="0" borderId="1" applyAlignment="1" pivotButton="0" quotePrefix="0" xfId="3">
      <alignment vertical="center"/>
    </xf>
    <xf numFmtId="0" fontId="40" fillId="7" borderId="1" applyAlignment="1" pivotButton="0" quotePrefix="0" xfId="3">
      <alignment vertical="center"/>
    </xf>
    <xf numFmtId="0" fontId="41" fillId="17" borderId="0" applyAlignment="1" pivotButton="0" quotePrefix="0" xfId="0">
      <alignment horizontal="left" vertical="center"/>
    </xf>
    <xf numFmtId="0" fontId="42" fillId="18" borderId="0" applyAlignment="1" pivotButton="0" quotePrefix="0" xfId="0">
      <alignment horizontal="left" vertical="center"/>
    </xf>
    <xf numFmtId="0" fontId="0" fillId="19" borderId="51" applyAlignment="1" pivotButton="0" quotePrefix="0" xfId="0">
      <alignment horizontal="center" vertical="center" wrapText="1"/>
    </xf>
    <xf numFmtId="0" fontId="0" fillId="19" borderId="52" applyAlignment="1" pivotButton="0" quotePrefix="0" xfId="0">
      <alignment horizontal="center" vertical="center" wrapText="1"/>
    </xf>
    <xf numFmtId="0" fontId="0" fillId="19" borderId="54" applyAlignment="1" pivotButton="0" quotePrefix="0" xfId="0">
      <alignment horizontal="center" vertical="center" wrapText="1"/>
    </xf>
    <xf numFmtId="0" fontId="0" fillId="20" borderId="54" applyAlignment="1" pivotButton="0" quotePrefix="0" xfId="0">
      <alignment horizontal="center" vertical="center" wrapText="1"/>
    </xf>
    <xf numFmtId="0" fontId="0" fillId="21" borderId="51" applyAlignment="1" pivotButton="0" quotePrefix="0" xfId="0">
      <alignment horizontal="center" vertical="center"/>
    </xf>
    <xf numFmtId="0" fontId="0" fillId="0" borderId="0" applyAlignment="1" pivotButton="0" quotePrefix="0" xfId="0">
      <alignment horizontal="right"/>
    </xf>
    <xf numFmtId="0" fontId="41" fillId="17" borderId="0" applyAlignment="1" pivotButton="0" quotePrefix="0" xfId="0">
      <alignment horizontal="right" vertical="center"/>
    </xf>
    <xf numFmtId="0" fontId="0" fillId="21" borderId="51" applyAlignment="1" pivotButton="0" quotePrefix="0" xfId="0">
      <alignment horizontal="center" vertical="center" wrapText="1"/>
    </xf>
    <xf numFmtId="0" fontId="0" fillId="21" borderId="52" applyAlignment="1" pivotButton="0" quotePrefix="0" xfId="0">
      <alignment horizontal="center" vertical="center" wrapText="1"/>
    </xf>
    <xf numFmtId="20" fontId="0" fillId="0" borderId="0" applyAlignment="1" pivotButton="0" quotePrefix="0" xfId="0">
      <alignment horizontal="right" vertical="center"/>
    </xf>
    <xf numFmtId="0" fontId="0" fillId="21" borderId="54" applyAlignment="1" pivotButton="0" quotePrefix="0" xfId="0">
      <alignment horizontal="center" vertical="center" wrapText="1"/>
    </xf>
    <xf numFmtId="0" fontId="43" fillId="0" borderId="0" applyAlignment="1" pivotButton="0" quotePrefix="0" xfId="0">
      <alignment horizontal="left" vertical="center" wrapText="1"/>
    </xf>
    <xf numFmtId="0" fontId="44" fillId="7" borderId="0" applyAlignment="1" pivotButton="0" quotePrefix="0" xfId="0">
      <alignment vertical="center"/>
    </xf>
    <xf numFmtId="0" fontId="45" fillId="0" borderId="0" applyAlignment="1" pivotButton="0" quotePrefix="0" xfId="3">
      <alignment vertical="center"/>
    </xf>
    <xf numFmtId="0" fontId="46" fillId="0" borderId="0" applyAlignment="1" pivotButton="0" quotePrefix="0" xfId="0">
      <alignment vertical="center" wrapText="1"/>
    </xf>
    <xf numFmtId="0" fontId="46" fillId="7" borderId="0" applyAlignment="1" pivotButton="0" quotePrefix="0" xfId="0">
      <alignment vertical="center" wrapText="1"/>
    </xf>
    <xf numFmtId="0" fontId="46" fillId="0" borderId="0" applyAlignment="1" pivotButton="0" quotePrefix="0" xfId="0">
      <alignment vertical="center"/>
    </xf>
    <xf numFmtId="0" fontId="36" fillId="7" borderId="0" applyAlignment="1" pivotButton="0" quotePrefix="0" xfId="0">
      <alignment horizontal="center" vertical="center"/>
    </xf>
    <xf numFmtId="0" fontId="3" fillId="11" borderId="3"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8" fillId="0" borderId="0" applyAlignment="1" pivotButton="0" quotePrefix="0" xfId="0">
      <alignment horizontal="left" vertical="center"/>
    </xf>
    <xf numFmtId="0" fontId="8" fillId="0" borderId="14" applyAlignment="1" pivotButton="0" quotePrefix="0" xfId="0">
      <alignment horizontal="center" vertical="center"/>
    </xf>
    <xf numFmtId="0" fontId="10" fillId="8" borderId="27" applyAlignment="1" pivotButton="0" quotePrefix="0" xfId="0">
      <alignment horizontal="center" vertical="center"/>
    </xf>
    <xf numFmtId="0" fontId="11" fillId="9" borderId="16" applyAlignment="1" pivotButton="0" quotePrefix="0" xfId="0">
      <alignment horizontal="center" vertical="center"/>
    </xf>
    <xf numFmtId="0" fontId="0" fillId="0" borderId="0" applyAlignment="1" pivotButton="0" quotePrefix="0" xfId="0">
      <alignment horizontal="right" vertical="center"/>
    </xf>
    <xf numFmtId="0" fontId="9"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11" fillId="9" borderId="0" applyAlignment="1" pivotButton="0" quotePrefix="0" xfId="0">
      <alignment horizontal="center"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8" fillId="0" borderId="0" applyAlignment="1" pivotButton="0" quotePrefix="0" xfId="0">
      <alignment horizontal="left" vertical="top" wrapText="1"/>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0" fontId="4" fillId="2" borderId="0" applyAlignment="1" pivotButton="0" quotePrefix="0" xfId="0">
      <alignment horizontal="center" vertical="center"/>
    </xf>
    <xf numFmtId="0" fontId="4" fillId="2" borderId="16"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4" fillId="2" borderId="17" applyAlignment="1" pivotButton="0" quotePrefix="0" xfId="0">
      <alignment horizontal="center" vertical="center"/>
    </xf>
    <xf numFmtId="0" fontId="36" fillId="7" borderId="0" applyAlignment="1" pivotButton="0" quotePrefix="0" xfId="0">
      <alignment horizontal="center" vertical="center"/>
    </xf>
    <xf numFmtId="9" fontId="36" fillId="7" borderId="0" applyAlignment="1" pivotButton="0" quotePrefix="1"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12"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4" fillId="2" borderId="18"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66" applyAlignment="1" pivotButton="0" quotePrefix="0" xfId="0">
      <alignment horizontal="left"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0" fontId="8" fillId="0" borderId="66" applyAlignment="1" pivotButton="0" quotePrefix="0" xfId="0">
      <alignment horizontal="left" vertical="center" wrapText="1"/>
    </xf>
    <xf numFmtId="0" fontId="9" fillId="0" borderId="0" applyAlignment="1" pivotButton="0" quotePrefix="0" xfId="0">
      <alignment horizontal="left" vertical="center"/>
    </xf>
    <xf numFmtId="0" fontId="9" fillId="0" borderId="35" applyAlignment="1" pivotButton="0" quotePrefix="0" xfId="0">
      <alignment horizontal="left" vertical="center"/>
    </xf>
    <xf numFmtId="0" fontId="9" fillId="0" borderId="0" applyAlignment="1" pivotButton="0" quotePrefix="0" xfId="0">
      <alignment horizontal="left" vertical="top"/>
    </xf>
    <xf numFmtId="0" fontId="9" fillId="0" borderId="35" applyAlignment="1" pivotButton="0" quotePrefix="0" xfId="0">
      <alignment horizontal="left" vertical="top"/>
    </xf>
    <xf numFmtId="0" fontId="11" fillId="9" borderId="18" applyAlignment="1" pivotButton="0" quotePrefix="0" xfId="0">
      <alignment horizontal="center"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20" fillId="0" borderId="27" applyAlignment="1" pivotButton="0" quotePrefix="0" xfId="0">
      <alignment horizontal="center" vertical="center"/>
    </xf>
    <xf numFmtId="0" fontId="20" fillId="0" borderId="28" applyAlignment="1" pivotButton="0" quotePrefix="0" xfId="0">
      <alignment horizontal="center" vertical="center"/>
    </xf>
    <xf numFmtId="0" fontId="11" fillId="9" borderId="17" applyAlignment="1" pivotButton="0" quotePrefix="0" xfId="0">
      <alignment horizontal="center" vertical="center"/>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9" fillId="0" borderId="0" applyAlignment="1" pivotButton="0" quotePrefix="0" xfId="0">
      <alignment horizontal="left" vertical="center" wrapText="1"/>
    </xf>
    <xf numFmtId="0" fontId="8" fillId="0" borderId="14" applyAlignment="1" pivotButton="0" quotePrefix="0" xfId="0">
      <alignment horizontal="center" vertical="center"/>
    </xf>
    <xf numFmtId="0" fontId="0" fillId="0" borderId="0" applyAlignment="1" pivotButton="0" quotePrefix="0" xfId="0">
      <alignment horizontal="right" vertical="center"/>
    </xf>
    <xf numFmtId="164" fontId="10" fillId="0" borderId="36" applyAlignment="1" pivotButton="0" quotePrefix="0" xfId="0">
      <alignment horizontal="center"/>
    </xf>
    <xf numFmtId="164" fontId="10" fillId="0" borderId="37"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42" applyAlignment="1" pivotButton="0" quotePrefix="0" xfId="0">
      <alignment horizontal="center"/>
    </xf>
    <xf numFmtId="164" fontId="10" fillId="0" borderId="43" applyAlignment="1" pivotButton="0" quotePrefix="0" xfId="0">
      <alignment horizontal="center"/>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14" applyAlignment="1" pivotButton="0" quotePrefix="0" xfId="0">
      <alignment horizontal="left" vertical="center"/>
    </xf>
    <xf numFmtId="0" fontId="15" fillId="9" borderId="18" applyAlignment="1" pivotButton="0" quotePrefix="0" xfId="0">
      <alignment horizontal="center" vertic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64" applyAlignment="1" pivotButton="0" quotePrefix="0" xfId="0">
      <alignment horizont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27" fillId="13" borderId="0" applyAlignment="1" pivotButton="0" quotePrefix="0" xfId="0">
      <alignment horizontal="center" vertical="center"/>
    </xf>
    <xf numFmtId="0" fontId="27" fillId="10" borderId="0" applyAlignment="1" pivotButton="0" quotePrefix="0" xfId="0">
      <alignment horizontal="center" vertical="center"/>
    </xf>
    <xf numFmtId="0" fontId="0" fillId="0" borderId="0" applyAlignment="1" pivotButton="0" quotePrefix="0" xfId="0">
      <alignment horizontal="center" vertical="top" wrapText="1"/>
    </xf>
    <xf numFmtId="0" fontId="28" fillId="0" borderId="0" applyAlignment="1" pivotButton="0" quotePrefix="0" xfId="0">
      <alignment horizontal="center" wrapText="1"/>
    </xf>
    <xf numFmtId="0" fontId="16" fillId="0" borderId="34" applyAlignment="1" pivotButton="0" quotePrefix="0" xfId="0">
      <alignment horizontal="center"/>
    </xf>
    <xf numFmtId="0" fontId="16" fillId="0" borderId="35" applyAlignment="1" pivotButton="0" quotePrefix="0" xfId="0">
      <alignment horizontal="center" vertical="center" textRotation="90"/>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67">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color rgb="FF9C5700"/>
      </font>
      <fill>
        <patternFill patternType="solid">
          <fgColor indexed="64"/>
          <bgColor rgb="FFFFEB9C"/>
        </patternFill>
      </fill>
      <alignment horizontal="center" vertical="bottom"/>
      <border>
        <left style="thin">
          <color theme="4" tint="0.3999450666829432"/>
        </left>
        <right/>
        <top style="thin">
          <color theme="4" tint="0.3999755851924192"/>
        </top>
        <bottom/>
        <vertical/>
        <horizontal/>
      </border>
    </dxf>
    <dxf>
      <font>
        <color rgb="FF9C5700"/>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numFmt numFmtId="1" formatCode="0"/>
    </dxf>
    <dxf>
      <alignment horizontal="center" vertical="bottom"/>
    </dxf>
    <dxf>
      <alignment horizontal="center" vertical="bottom"/>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0</colOff>
      <row>20</row>
      <rowOff>13608</rowOff>
    </from>
    <to>
      <col>3</col>
      <colOff>883103</colOff>
      <row>49</row>
      <rowOff>72663</rowOff>
    </to>
    <pic>
      <nvPicPr>
        <cNvPr id="3" name="Immagin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87286" y="3374572"/>
          <a:ext cx="2771775" cy="5297805"/>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E16" headerRowCount="1" totalsRowShown="0" headerRowDxfId="51" dataDxfId="50" headerRowBorderDxfId="48" tableBorderDxfId="49" totalsRowBorderDxfId="47">
  <autoFilter ref="A4:E16"/>
  <tableColumns count="5">
    <tableColumn id="1" name="Settimana" dataDxfId="46">
      <calculatedColumnFormula>A4+7</calculatedColumnFormula>
    </tableColumn>
    <tableColumn id="2" name="Durata/Serie" dataDxfId="45"/>
    <tableColumn id="4" name="Recupero" dataDxfId="44"/>
    <tableColumn id="5" name="Durata e Serie " dataDxfId="43"/>
    <tableColumn id="20" name="RPE seduta" dataDxfId="42"/>
  </tableColumns>
  <tableStyleInfo name="TableStyleMedium2" showFirstColumn="0" showLastColumn="0" showRowStripes="1" showColumnStripes="0"/>
</table>
</file>

<file path=xl/tables/table2.xml><?xml version="1.0" encoding="utf-8"?>
<table xmlns="http://schemas.openxmlformats.org/spreadsheetml/2006/main" id="2" name="Tabella512" displayName="Tabella512" ref="J4:N16" headerRowCount="1" totalsRowShown="0" headerRowDxfId="41" headerRowBorderDxfId="39" tableBorderDxfId="40" totalsRowBorderDxfId="38">
  <autoFilter ref="J4:N16"/>
  <tableColumns count="5">
    <tableColumn id="1" name="Durata/Serie"/>
    <tableColumn id="2" name="Movimenti"/>
    <tableColumn id="4" name="Recupero"/>
    <tableColumn id="5" name="Durata e Serie " dataDxfId="37"/>
    <tableColumn id="6" name="RPE seduta" dataDxfId="36"/>
  </tableColumns>
  <tableStyleInfo name="TableStyleMedium2" showFirstColumn="0" showLastColumn="0" showRowStripes="1" showColumnStripes="0"/>
</table>
</file>

<file path=xl/tables/table3.xml><?xml version="1.0" encoding="utf-8"?>
<table xmlns="http://schemas.openxmlformats.org/spreadsheetml/2006/main" id="3" name="Tabella5713" displayName="Tabella5713" ref="U4:Y16" headerRowCount="1" totalsRowShown="0" headerRowDxfId="35" headerRowBorderDxfId="33" tableBorderDxfId="34" totalsRowBorderDxfId="32">
  <autoFilter ref="U4:Y16"/>
  <tableColumns count="5">
    <tableColumn id="1" name="Durata/Serie"/>
    <tableColumn id="2" name="Movimenti"/>
    <tableColumn id="4" name="Recupero"/>
    <tableColumn id="5" name="Durata e Serie " dataDxfId="31"/>
    <tableColumn id="6" name="RPE seduta" dataDxfId="30"/>
  </tableColumns>
  <tableStyleInfo name="TableStyleMedium2" showFirstColumn="0" showLastColumn="0" showRowStripes="1" showColumnStripes="0"/>
</table>
</file>

<file path=xl/tables/table4.xml><?xml version="1.0" encoding="utf-8"?>
<table xmlns="http://schemas.openxmlformats.org/spreadsheetml/2006/main" id="4" name="Tabella5814" displayName="Tabella5814" ref="Z4:AC16" headerRowCount="1" totalsRowShown="0" headerRowDxfId="29" headerRowBorderDxfId="27" tableBorderDxfId="28" totalsRowBorderDxfId="26">
  <autoFilter ref="Z4:AC16"/>
  <tableColumns count="4">
    <tableColumn id="1" name="Durata/Serie"/>
    <tableColumn id="4" name="Recupero"/>
    <tableColumn id="5" name="Durata e Serie " dataDxfId="25"/>
    <tableColumn id="6" name="RPE seduta" dataDxfId="24"/>
  </tableColumns>
  <tableStyleInfo name="TableStyleMedium2" showFirstColumn="0" showLastColumn="0" showRowStripes="1" showColumnStripes="0"/>
</table>
</file>

<file path=xl/tables/table5.xml><?xml version="1.0" encoding="utf-8"?>
<table xmlns="http://schemas.openxmlformats.org/spreadsheetml/2006/main" id="5" name="Tabella58915" displayName="Tabella58915" ref="O4:T16" headerRowCount="1" totalsRowShown="0" headerRowDxfId="23" headerRowBorderDxfId="21" tableBorderDxfId="22" totalsRowBorderDxfId="20">
  <autoFilter ref="O4:T16"/>
  <tableColumns count="6">
    <tableColumn id="1" name="Durata/Serie"/>
    <tableColumn id="2" name="Movimenti"/>
    <tableColumn id="3" name="Ripetizioni"/>
    <tableColumn id="4" name="Recupero"/>
    <tableColumn id="5" name="Durata e Serie " dataDxfId="19"/>
    <tableColumn id="6" name="RPE seduta" dataDxfId="18"/>
  </tableColumns>
  <tableStyleInfo name="TableStyleMedium2" showFirstColumn="0" showLastColumn="0" showRowStripes="1" showColumnStripes="0"/>
</table>
</file>

<file path=xl/tables/table6.xml><?xml version="1.0" encoding="utf-8"?>
<table xmlns="http://schemas.openxmlformats.org/spreadsheetml/2006/main" id="6" name="Tabella51016" displayName="Tabella51016" ref="F4:I16" headerRowCount="1" totalsRowShown="0" headerRowDxfId="17" headerRowBorderDxfId="15" tableBorderDxfId="16" totalsRowBorderDxfId="14">
  <autoFilter ref="F4:I16"/>
  <tableColumns count="4">
    <tableColumn id="1" name="Durata/Serie"/>
    <tableColumn id="3" name="Ripetizioni"/>
    <tableColumn id="5" name="Durata e Serie " dataDxfId="13"/>
    <tableColumn id="6" name="RPE seduta" dataDxfId="12"/>
  </tableColumns>
  <tableStyleInfo name="TableStyleMedium2" showFirstColumn="0" showLastColumn="0" showRowStripes="1" showColumnStripes="0"/>
</table>
</file>

<file path=xl/tables/table7.xml><?xml version="1.0" encoding="utf-8"?>
<table xmlns="http://schemas.openxmlformats.org/spreadsheetml/2006/main" id="7" name="Tabella57139" displayName="Tabella57139" ref="AD4:AH16" headerRowCount="1" totalsRowShown="0" headerRowDxfId="11" headerRowBorderDxfId="9" tableBorderDxfId="10" totalsRowBorderDxfId="8">
  <autoFilter ref="AD4:AH16"/>
  <tableColumns count="5">
    <tableColumn id="1" name="Durata/Serie"/>
    <tableColumn id="3" name="Ripetizioni"/>
    <tableColumn id="4" name="Recupero"/>
    <tableColumn id="5" name="Durata e Serie " dataDxfId="7"/>
    <tableColumn id="6" name="RPE seduta" dataDxfId="6"/>
  </tableColumns>
  <tableStyleInfo name="TableStyleMedium2" showFirstColumn="0" showLastColumn="0" showRowStripes="1" showColumnStripes="0"/>
</table>
</file>

<file path=xl/tables/table8.xml><?xml version="1.0" encoding="utf-8"?>
<table xmlns="http://schemas.openxmlformats.org/spreadsheetml/2006/main" id="8" name="Tabella581410" displayName="Tabella581410" ref="AI4:AL16" headerRowCount="1" totalsRowShown="0" headerRowDxfId="5" headerRowBorderDxfId="3" tableBorderDxfId="4" totalsRowBorderDxfId="2">
  <autoFilter ref="AI4:AL16"/>
  <tableColumns count="4">
    <tableColumn id="1" name="Durata/Serie"/>
    <tableColumn id="4" name="Recupero"/>
    <tableColumn id="5" name="Durata e Serie " dataDxfId="1"/>
    <tableColumn id="6" name="RPE sedu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 Type="http://schemas.openxmlformats.org/officeDocument/2006/relationships/table" Target="/xl/tables/table5.xml" Id="rId6"/><Relationship Type="http://schemas.openxmlformats.org/officeDocument/2006/relationships/table" Target="/xl/tables/table6.xml" Id="rId7"/><Relationship Type="http://schemas.openxmlformats.org/officeDocument/2006/relationships/table" Target="/xl/tables/table7.xml" Id="rId8"/><Relationship Type="http://schemas.openxmlformats.org/officeDocument/2006/relationships/table" Target="/xl/tables/table8.xml" Id="rId9"/></Relationships>
</file>

<file path=xl/worksheets/sheet1.xml><?xml version="1.0" encoding="utf-8"?>
<worksheet xmlns="http://schemas.openxmlformats.org/spreadsheetml/2006/main">
  <sheetPr codeName="Foglio9">
    <outlinePr summaryBelow="1" summaryRight="1"/>
    <pageSetUpPr/>
  </sheetPr>
  <dimension ref="A2:BG39"/>
  <sheetViews>
    <sheetView topLeftCell="L1" zoomScale="90" zoomScaleNormal="90" workbookViewId="0">
      <selection activeCell="V28" sqref="V28"/>
    </sheetView>
  </sheetViews>
  <sheetFormatPr baseColWidth="8" defaultRowHeight="15"/>
  <cols>
    <col width="11.85546875" customWidth="1" min="1" max="1"/>
    <col width="10.7109375" customWidth="1" min="2" max="2"/>
    <col width="26.85546875" bestFit="1" customWidth="1" min="3" max="3"/>
    <col width="16.7109375" bestFit="1" customWidth="1" min="4" max="4"/>
    <col width="13.28515625" bestFit="1" customWidth="1" min="5" max="5"/>
    <col width="10.7109375" customWidth="1" min="6" max="17"/>
    <col width="19.42578125" customWidth="1" min="18" max="18"/>
    <col width="10.7109375" customWidth="1" min="19" max="38"/>
    <col width="19.5703125" customWidth="1" min="41" max="41"/>
    <col width="20.7109375" customWidth="1" min="58" max="58"/>
    <col width="255.7109375" customWidth="1" min="59" max="59"/>
  </cols>
  <sheetData>
    <row r="2">
      <c r="B2" s="373" t="inlineStr">
        <is>
          <t>Seduta 1</t>
        </is>
      </c>
      <c r="F2" s="374" t="inlineStr">
        <is>
          <t>Seduta 1b</t>
        </is>
      </c>
      <c r="J2" s="373" t="inlineStr">
        <is>
          <t>Seduta 2</t>
        </is>
      </c>
      <c r="O2" s="374" t="inlineStr">
        <is>
          <t>Seduta 2b</t>
        </is>
      </c>
      <c r="U2" s="373" t="inlineStr">
        <is>
          <t>Seduta 2c</t>
        </is>
      </c>
      <c r="Z2" s="374" t="inlineStr">
        <is>
          <t>Seduta 3</t>
        </is>
      </c>
      <c r="AD2" s="373" t="inlineStr">
        <is>
          <t>Seduta 3b</t>
        </is>
      </c>
      <c r="AI2" s="374" t="inlineStr">
        <is>
          <t>Seduta 4</t>
        </is>
      </c>
    </row>
    <row r="3">
      <c r="B3" s="373" t="inlineStr">
        <is>
          <t>Blocchi project</t>
        </is>
      </c>
      <c r="F3" s="374" t="inlineStr">
        <is>
          <t>Aero</t>
        </is>
      </c>
      <c r="J3" s="373" t="inlineStr">
        <is>
          <t>Blocchi lenti</t>
        </is>
      </c>
      <c r="O3" s="374" t="inlineStr">
        <is>
          <t>Aufbau</t>
        </is>
      </c>
      <c r="U3" s="373" t="inlineStr">
        <is>
          <t>Circuiti</t>
        </is>
      </c>
      <c r="Z3" s="374" t="inlineStr">
        <is>
          <t>Vie flash</t>
        </is>
      </c>
      <c r="AD3" s="373" t="inlineStr">
        <is>
          <t>Vie Ripetute</t>
        </is>
      </c>
      <c r="AI3" s="374" t="inlineStr">
        <is>
          <t>Vie red point</t>
        </is>
      </c>
    </row>
    <row r="4" ht="14.45" customHeight="1">
      <c r="A4" s="191" t="inlineStr">
        <is>
          <t>Settimana</t>
        </is>
      </c>
      <c r="B4" s="192" t="inlineStr">
        <is>
          <t>Durata/Serie</t>
        </is>
      </c>
      <c r="C4" s="192" t="inlineStr">
        <is>
          <t>Recupero</t>
        </is>
      </c>
      <c r="D4" s="192" t="inlineStr">
        <is>
          <t xml:space="preserve">Durata e Serie </t>
        </is>
      </c>
      <c r="E4" s="198" t="inlineStr">
        <is>
          <t>RPE seduta</t>
        </is>
      </c>
      <c r="F4" s="200" t="inlineStr">
        <is>
          <t>Durata/Serie</t>
        </is>
      </c>
      <c r="G4" s="197" t="inlineStr">
        <is>
          <t>Ripetizioni</t>
        </is>
      </c>
      <c r="H4" s="197" t="inlineStr">
        <is>
          <t xml:space="preserve">Durata e Serie </t>
        </is>
      </c>
      <c r="I4" s="197" t="inlineStr">
        <is>
          <t>RPE seduta</t>
        </is>
      </c>
      <c r="J4" s="200" t="inlineStr">
        <is>
          <t>Durata/Serie</t>
        </is>
      </c>
      <c r="K4" s="197" t="inlineStr">
        <is>
          <t>Movimenti</t>
        </is>
      </c>
      <c r="L4" s="197" t="inlineStr">
        <is>
          <t>Recupero</t>
        </is>
      </c>
      <c r="M4" s="197" t="inlineStr">
        <is>
          <t xml:space="preserve">Durata e Serie </t>
        </is>
      </c>
      <c r="N4" s="197" t="inlineStr">
        <is>
          <t>RPE seduta</t>
        </is>
      </c>
      <c r="O4" s="197" t="inlineStr">
        <is>
          <t>Durata/Serie</t>
        </is>
      </c>
      <c r="P4" s="197" t="inlineStr">
        <is>
          <t>Movimenti</t>
        </is>
      </c>
      <c r="Q4" s="197" t="inlineStr">
        <is>
          <t>Ripetizioni</t>
        </is>
      </c>
      <c r="R4" s="197" t="inlineStr">
        <is>
          <t>Recupero</t>
        </is>
      </c>
      <c r="S4" s="197" t="inlineStr">
        <is>
          <t xml:space="preserve">Durata e Serie </t>
        </is>
      </c>
      <c r="T4" s="197" t="inlineStr">
        <is>
          <t>RPE seduta</t>
        </is>
      </c>
      <c r="U4" s="197" t="inlineStr">
        <is>
          <t>Durata/Serie</t>
        </is>
      </c>
      <c r="V4" s="197" t="inlineStr">
        <is>
          <t>Movimenti</t>
        </is>
      </c>
      <c r="W4" s="197" t="inlineStr">
        <is>
          <t>Recupero</t>
        </is>
      </c>
      <c r="X4" s="197" t="inlineStr">
        <is>
          <t xml:space="preserve">Durata e Serie </t>
        </is>
      </c>
      <c r="Y4" s="197" t="inlineStr">
        <is>
          <t>RPE seduta</t>
        </is>
      </c>
      <c r="Z4" s="197" t="inlineStr">
        <is>
          <t>Durata/Serie</t>
        </is>
      </c>
      <c r="AA4" s="197" t="inlineStr">
        <is>
          <t>Recupero</t>
        </is>
      </c>
      <c r="AB4" s="197" t="inlineStr">
        <is>
          <t xml:space="preserve">Durata e Serie </t>
        </is>
      </c>
      <c r="AC4" s="197" t="inlineStr">
        <is>
          <t>RPE seduta</t>
        </is>
      </c>
      <c r="AD4" s="197" t="inlineStr">
        <is>
          <t>Durata/Serie</t>
        </is>
      </c>
      <c r="AE4" s="197" t="inlineStr">
        <is>
          <t>Ripetizioni</t>
        </is>
      </c>
      <c r="AF4" s="197" t="inlineStr">
        <is>
          <t>Recupero</t>
        </is>
      </c>
      <c r="AG4" s="197" t="inlineStr">
        <is>
          <t xml:space="preserve">Durata e Serie </t>
        </is>
      </c>
      <c r="AH4" s="197" t="inlineStr">
        <is>
          <t>RPE seduta</t>
        </is>
      </c>
      <c r="AI4" s="197" t="inlineStr">
        <is>
          <t>Durata/Serie</t>
        </is>
      </c>
      <c r="AJ4" s="197" t="inlineStr">
        <is>
          <t>Recupero</t>
        </is>
      </c>
      <c r="AK4" s="197" t="inlineStr">
        <is>
          <t xml:space="preserve">Durata e Serie </t>
        </is>
      </c>
      <c r="AL4" s="197" t="inlineStr">
        <is>
          <t>RPE seduta</t>
        </is>
      </c>
    </row>
    <row r="5" ht="14.45" customHeight="1">
      <c r="A5" s="193" t="n">
        <v>45593</v>
      </c>
      <c r="B5" s="195" t="inlineStr">
        <is>
          <t>Fino a 70'</t>
        </is>
      </c>
      <c r="C5" s="194" t="inlineStr">
        <is>
          <t>Almeno 3' tra tentativi buoni</t>
        </is>
      </c>
      <c r="D5" s="201" t="n">
        <v>70</v>
      </c>
      <c r="E5" s="202" t="n">
        <v>8</v>
      </c>
      <c r="F5" s="203" t="inlineStr">
        <is>
          <t>4'ON3'OFF</t>
        </is>
      </c>
      <c r="G5" s="205" t="inlineStr">
        <is>
          <t>2</t>
        </is>
      </c>
      <c r="H5" s="201" t="n">
        <v>2</v>
      </c>
      <c r="I5" s="202" t="n">
        <v>9</v>
      </c>
      <c r="J5" s="254" t="inlineStr">
        <is>
          <t>2-3</t>
        </is>
      </c>
      <c r="K5" s="204" t="inlineStr">
        <is>
          <t>8-10</t>
        </is>
      </c>
      <c r="L5" s="206" t="inlineStr">
        <is>
          <t>Almeno 5'</t>
        </is>
      </c>
      <c r="M5" s="201" t="n">
        <v>3</v>
      </c>
      <c r="N5" s="202" t="n">
        <v>8</v>
      </c>
      <c r="O5" s="207" t="inlineStr">
        <is>
          <t>1-2</t>
        </is>
      </c>
      <c r="P5" s="204" t="inlineStr">
        <is>
          <t>10-13</t>
        </is>
      </c>
      <c r="Q5" s="205" t="inlineStr">
        <is>
          <t>3</t>
        </is>
      </c>
      <c r="R5" s="206" t="inlineStr">
        <is>
          <t>2' rip | 8-10' set</t>
        </is>
      </c>
      <c r="S5" s="201" t="n">
        <v>2</v>
      </c>
      <c r="T5" s="202" t="n">
        <v>8</v>
      </c>
      <c r="U5" s="206" t="n">
        <v>2</v>
      </c>
      <c r="V5" s="204" t="inlineStr">
        <is>
          <t>30</t>
        </is>
      </c>
      <c r="W5" s="206" t="inlineStr">
        <is>
          <t>Fino a 9'</t>
        </is>
      </c>
      <c r="X5" s="201" t="inlineStr">
        <is>
          <t>non fatti</t>
        </is>
      </c>
      <c r="Y5" s="201" t="inlineStr">
        <is>
          <t>non fatti</t>
        </is>
      </c>
      <c r="Z5" s="207" t="inlineStr">
        <is>
          <t>3-4</t>
        </is>
      </c>
      <c r="AA5" s="206" t="inlineStr">
        <is>
          <t>A piacere</t>
        </is>
      </c>
      <c r="AB5" s="201" t="inlineStr">
        <is>
          <t>non fatti</t>
        </is>
      </c>
      <c r="AC5" s="201" t="inlineStr">
        <is>
          <t>non fatti</t>
        </is>
      </c>
      <c r="AD5" s="206" t="n">
        <v>2</v>
      </c>
      <c r="AE5" s="205" t="inlineStr">
        <is>
          <t>2</t>
        </is>
      </c>
      <c r="AF5" s="206" t="inlineStr">
        <is>
          <t>A piacere</t>
        </is>
      </c>
      <c r="AG5" s="201" t="inlineStr">
        <is>
          <t>non fatti</t>
        </is>
      </c>
      <c r="AH5" s="201" t="inlineStr">
        <is>
          <t>non fatti</t>
        </is>
      </c>
      <c r="AI5" s="206" t="inlineStr">
        <is>
          <t>Fino a 4</t>
        </is>
      </c>
      <c r="AJ5" s="206" t="inlineStr">
        <is>
          <t>A piacere</t>
        </is>
      </c>
      <c r="AK5" s="201" t="n">
        <v>5</v>
      </c>
      <c r="AL5" s="202" t="n">
        <v>8.5</v>
      </c>
    </row>
    <row r="6" ht="14.45" customHeight="1">
      <c r="A6" s="193">
        <f>A5+7</f>
        <v/>
      </c>
      <c r="B6" s="194" t="inlineStr">
        <is>
          <t>Fino a 80'</t>
        </is>
      </c>
      <c r="C6" s="194" t="inlineStr">
        <is>
          <t>Almeno 3' tra tentativi buoni</t>
        </is>
      </c>
      <c r="D6" s="201" t="n">
        <v>80</v>
      </c>
      <c r="E6" s="202" t="n">
        <v>7.5</v>
      </c>
      <c r="F6" s="1" t="inlineStr">
        <is>
          <t>4'ON2'OFF</t>
        </is>
      </c>
      <c r="G6" s="195" t="n">
        <v>3</v>
      </c>
      <c r="H6" s="201" t="inlineStr">
        <is>
          <t>non fatti</t>
        </is>
      </c>
      <c r="I6" s="201" t="inlineStr">
        <is>
          <t>non fatti</t>
        </is>
      </c>
      <c r="J6" s="255" t="inlineStr">
        <is>
          <t>3-4</t>
        </is>
      </c>
      <c r="K6" s="195" t="inlineStr">
        <is>
          <t>8-10</t>
        </is>
      </c>
      <c r="L6" s="194" t="inlineStr">
        <is>
          <t>Almeno 5'</t>
        </is>
      </c>
      <c r="M6" s="201" t="n">
        <v>3</v>
      </c>
      <c r="N6" s="202" t="n">
        <v>7.5</v>
      </c>
      <c r="O6" s="195" t="inlineStr">
        <is>
          <t>2</t>
        </is>
      </c>
      <c r="P6" s="195" t="inlineStr">
        <is>
          <t>10-13</t>
        </is>
      </c>
      <c r="Q6" s="195" t="n">
        <v>3</v>
      </c>
      <c r="R6" s="194" t="inlineStr">
        <is>
          <t>1'40" rip | 8-10' set</t>
        </is>
      </c>
      <c r="S6" s="201" t="n">
        <v>2</v>
      </c>
      <c r="T6" s="202" t="n">
        <v>8.5</v>
      </c>
      <c r="U6" s="194" t="n">
        <v>3</v>
      </c>
      <c r="V6" s="195" t="inlineStr">
        <is>
          <t>30</t>
        </is>
      </c>
      <c r="W6" s="194" t="inlineStr">
        <is>
          <t>Fino a 9'</t>
        </is>
      </c>
      <c r="X6" s="201" t="n">
        <v>3</v>
      </c>
      <c r="Y6" s="202" t="n">
        <v>9</v>
      </c>
      <c r="Z6" s="195" t="inlineStr">
        <is>
          <t>3-5</t>
        </is>
      </c>
      <c r="AA6" s="194" t="inlineStr">
        <is>
          <t>A piacere</t>
        </is>
      </c>
      <c r="AB6" s="201" t="n"/>
      <c r="AC6" s="202" t="n"/>
      <c r="AD6" s="194" t="n">
        <v>2</v>
      </c>
      <c r="AE6" s="195" t="n">
        <v>2</v>
      </c>
      <c r="AF6" s="194" t="inlineStr">
        <is>
          <t>A piacere</t>
        </is>
      </c>
      <c r="AG6" s="201" t="n"/>
      <c r="AH6" s="202" t="n"/>
      <c r="AI6" s="194" t="inlineStr">
        <is>
          <t>Fino a 5</t>
        </is>
      </c>
      <c r="AJ6" s="194" t="inlineStr">
        <is>
          <t>A piacere</t>
        </is>
      </c>
      <c r="AK6" s="201" t="n"/>
      <c r="AL6" s="202" t="n"/>
    </row>
    <row r="7" ht="14.45" customHeight="1">
      <c r="A7" s="193">
        <f>A6+7</f>
        <v/>
      </c>
      <c r="B7" s="194" t="inlineStr">
        <is>
          <t>Fino a 85'</t>
        </is>
      </c>
      <c r="C7" s="194" t="inlineStr">
        <is>
          <t>Almeno 3' tra tentativi buoni</t>
        </is>
      </c>
      <c r="D7" s="201" t="n">
        <v>90</v>
      </c>
      <c r="E7" s="202" t="n">
        <v>7.5</v>
      </c>
      <c r="F7" s="203" t="inlineStr">
        <is>
          <t>5'ON2'OFF</t>
        </is>
      </c>
      <c r="G7" s="207" t="n">
        <v>2</v>
      </c>
      <c r="H7" s="201" t="n">
        <v>2</v>
      </c>
      <c r="I7" s="202" t="n">
        <v>8</v>
      </c>
      <c r="J7" s="254" t="inlineStr">
        <is>
          <t>3-4</t>
        </is>
      </c>
      <c r="K7" s="207" t="inlineStr">
        <is>
          <t>10-12</t>
        </is>
      </c>
      <c r="L7" s="206" t="inlineStr">
        <is>
          <t>Almeno 5'</t>
        </is>
      </c>
      <c r="M7" s="201" t="n">
        <v>4</v>
      </c>
      <c r="N7" s="202" t="n">
        <v>7.5</v>
      </c>
      <c r="O7" s="207" t="inlineStr">
        <is>
          <t>2-3</t>
        </is>
      </c>
      <c r="P7" s="207" t="inlineStr">
        <is>
          <t>10-13</t>
        </is>
      </c>
      <c r="Q7" s="207" t="n">
        <v>4</v>
      </c>
      <c r="R7" s="206" t="inlineStr">
        <is>
          <t>2' rip | 8-10' set</t>
        </is>
      </c>
      <c r="S7" s="201" t="n">
        <v>3</v>
      </c>
      <c r="T7" s="202" t="n">
        <v>8</v>
      </c>
      <c r="U7" s="206" t="n">
        <v>3</v>
      </c>
      <c r="V7" s="207" t="inlineStr">
        <is>
          <t>32</t>
        </is>
      </c>
      <c r="W7" s="206" t="inlineStr">
        <is>
          <t>Fino a 9'</t>
        </is>
      </c>
      <c r="X7" s="201" t="n">
        <v>3</v>
      </c>
      <c r="Y7" s="202" t="n">
        <v>7.5</v>
      </c>
      <c r="Z7" s="207" t="inlineStr">
        <is>
          <t>4-6</t>
        </is>
      </c>
      <c r="AA7" s="206" t="inlineStr">
        <is>
          <t>A piacere</t>
        </is>
      </c>
      <c r="AB7" s="201" t="n"/>
      <c r="AC7" s="202" t="n"/>
      <c r="AD7" s="206" t="n">
        <v>2</v>
      </c>
      <c r="AE7" s="207" t="n">
        <v>2</v>
      </c>
      <c r="AF7" s="206" t="inlineStr">
        <is>
          <t>A piacere</t>
        </is>
      </c>
      <c r="AG7" s="201" t="n"/>
      <c r="AH7" s="202" t="n"/>
      <c r="AI7" s="206" t="inlineStr">
        <is>
          <t>Fino a 5</t>
        </is>
      </c>
      <c r="AJ7" s="206" t="inlineStr">
        <is>
          <t>A piacere</t>
        </is>
      </c>
      <c r="AK7" s="201" t="n"/>
      <c r="AL7" s="202" t="n"/>
    </row>
    <row r="8" ht="14.45" customHeight="1">
      <c r="A8" s="193">
        <f>A7+7</f>
        <v/>
      </c>
      <c r="B8" s="194" t="inlineStr">
        <is>
          <t>Fino a 60'</t>
        </is>
      </c>
      <c r="C8" s="194" t="inlineStr">
        <is>
          <t>Almeno 3' tra tentativi buoni</t>
        </is>
      </c>
      <c r="D8" s="208" t="n">
        <v>60</v>
      </c>
      <c r="E8" s="209" t="n">
        <v>7</v>
      </c>
      <c r="F8" s="1" t="inlineStr">
        <is>
          <t>5'ON2'OFF</t>
        </is>
      </c>
      <c r="G8" s="210" t="n">
        <v>3</v>
      </c>
      <c r="H8" s="208" t="n">
        <v>2</v>
      </c>
      <c r="I8" s="209" t="n">
        <v>6</v>
      </c>
      <c r="J8" s="255" t="inlineStr">
        <is>
          <t>2-3</t>
        </is>
      </c>
      <c r="K8" s="210" t="inlineStr">
        <is>
          <t>10-12</t>
        </is>
      </c>
      <c r="L8" s="199" t="inlineStr">
        <is>
          <t>Almeno 5'</t>
        </is>
      </c>
      <c r="M8" s="208" t="n">
        <v>3</v>
      </c>
      <c r="N8" s="209" t="n">
        <v>8</v>
      </c>
      <c r="O8" s="210" t="inlineStr">
        <is>
          <t>2</t>
        </is>
      </c>
      <c r="P8" s="210" t="inlineStr">
        <is>
          <t>10-13</t>
        </is>
      </c>
      <c r="Q8" s="210" t="n">
        <v>4</v>
      </c>
      <c r="R8" s="199" t="inlineStr">
        <is>
          <t>1'40" rip | 8-10' set</t>
        </is>
      </c>
      <c r="S8" s="208" t="n">
        <v>3</v>
      </c>
      <c r="T8" s="209" t="n">
        <v>9</v>
      </c>
      <c r="U8" s="199" t="n">
        <v>2</v>
      </c>
      <c r="V8" s="210" t="inlineStr">
        <is>
          <t>32</t>
        </is>
      </c>
      <c r="W8" s="199" t="inlineStr">
        <is>
          <t>Fino a 9'</t>
        </is>
      </c>
      <c r="X8" s="208" t="n">
        <v>2</v>
      </c>
      <c r="Y8" s="209" t="n">
        <v>9</v>
      </c>
      <c r="Z8" s="199" t="inlineStr">
        <is>
          <t>Max 4</t>
        </is>
      </c>
      <c r="AA8" s="199" t="inlineStr">
        <is>
          <t>A piacere</t>
        </is>
      </c>
      <c r="AB8" s="208" t="n"/>
      <c r="AC8" s="209" t="n"/>
      <c r="AD8" s="199" t="n">
        <v>2</v>
      </c>
      <c r="AE8" s="210" t="n">
        <v>2</v>
      </c>
      <c r="AF8" s="199" t="inlineStr">
        <is>
          <t>A piacere</t>
        </is>
      </c>
      <c r="AG8" s="208" t="n"/>
      <c r="AH8" s="209" t="n"/>
      <c r="AI8" s="199" t="inlineStr">
        <is>
          <t>Fino a 3</t>
        </is>
      </c>
      <c r="AJ8" s="199" t="inlineStr">
        <is>
          <t>A piacere</t>
        </is>
      </c>
      <c r="AK8" s="208" t="n"/>
      <c r="AL8" s="209" t="n"/>
    </row>
    <row r="9" hidden="1">
      <c r="A9" s="193">
        <f>A8+7</f>
        <v/>
      </c>
      <c r="B9" s="194" t="n"/>
      <c r="C9" s="194" t="n"/>
      <c r="D9" s="211" t="n"/>
      <c r="E9" s="209" t="n"/>
      <c r="F9" s="1" t="n"/>
      <c r="G9" s="194" t="n"/>
      <c r="H9" s="211" t="n"/>
      <c r="I9" s="209" t="n"/>
      <c r="J9" s="1" t="n"/>
      <c r="K9" s="194" t="n"/>
      <c r="L9" s="194" t="n"/>
      <c r="M9" s="211" t="n"/>
      <c r="N9" s="209" t="n"/>
      <c r="O9" s="194" t="n"/>
      <c r="P9" s="194" t="n"/>
      <c r="Q9" s="194" t="n"/>
      <c r="R9" s="194" t="n"/>
      <c r="S9" s="211" t="n"/>
      <c r="T9" s="209" t="n"/>
      <c r="U9" s="194" t="n"/>
      <c r="V9" s="194" t="n"/>
      <c r="W9" s="194" t="n"/>
      <c r="X9" s="211" t="n"/>
      <c r="Y9" s="209" t="n"/>
      <c r="Z9" s="194" t="n"/>
      <c r="AA9" s="194" t="n"/>
      <c r="AB9" s="211" t="n"/>
      <c r="AC9" s="209" t="n"/>
      <c r="AD9" s="194" t="n"/>
      <c r="AE9" s="194" t="n"/>
      <c r="AF9" s="194" t="n"/>
      <c r="AG9" s="211" t="n"/>
      <c r="AH9" s="209" t="n"/>
      <c r="AI9" s="194" t="n"/>
      <c r="AJ9" s="194" t="n"/>
      <c r="AK9" s="211" t="n"/>
      <c r="AL9" s="209" t="n"/>
      <c r="AO9" t="inlineStr">
        <is>
          <t>Blocchi flash - No fail</t>
        </is>
      </c>
    </row>
    <row r="10" hidden="1">
      <c r="A10" s="193">
        <f>A9+7</f>
        <v/>
      </c>
      <c r="B10" s="194" t="n"/>
      <c r="C10" s="194" t="n"/>
      <c r="D10" s="211" t="n"/>
      <c r="E10" s="209" t="n"/>
      <c r="F10" s="1" t="n"/>
      <c r="G10" s="194" t="n"/>
      <c r="H10" s="211" t="n"/>
      <c r="I10" s="209" t="n"/>
      <c r="J10" s="1" t="n"/>
      <c r="K10" s="194" t="n"/>
      <c r="L10" s="194" t="n"/>
      <c r="M10" s="211" t="n"/>
      <c r="N10" s="209" t="n"/>
      <c r="O10" s="194" t="n"/>
      <c r="P10" s="194" t="n"/>
      <c r="Q10" s="194" t="n"/>
      <c r="R10" s="194" t="n"/>
      <c r="S10" s="211" t="n"/>
      <c r="T10" s="209" t="n"/>
      <c r="U10" s="194" t="n"/>
      <c r="V10" s="194" t="n"/>
      <c r="W10" s="194" t="n"/>
      <c r="X10" s="211" t="n"/>
      <c r="Y10" s="209" t="n"/>
      <c r="Z10" s="194" t="n"/>
      <c r="AA10" s="194" t="n"/>
      <c r="AB10" s="211" t="n"/>
      <c r="AC10" s="209" t="n"/>
      <c r="AD10" s="194" t="n"/>
      <c r="AE10" s="194" t="n"/>
      <c r="AF10" s="194" t="n"/>
      <c r="AG10" s="211" t="n"/>
      <c r="AH10" s="209" t="n"/>
      <c r="AI10" s="194" t="n"/>
      <c r="AJ10" s="194" t="n"/>
      <c r="AK10" s="211" t="n"/>
      <c r="AL10" s="209" t="n"/>
      <c r="AO10" t="inlineStr">
        <is>
          <t>Blocchi flash.</t>
        </is>
      </c>
    </row>
    <row r="11" hidden="1">
      <c r="A11" s="193">
        <f>A10+7</f>
        <v/>
      </c>
      <c r="B11" s="194" t="n"/>
      <c r="C11" s="194" t="n"/>
      <c r="D11" s="211" t="n"/>
      <c r="E11" s="209" t="n"/>
      <c r="F11" s="1" t="n"/>
      <c r="G11" s="194" t="n"/>
      <c r="H11" s="211" t="n"/>
      <c r="I11" s="209" t="n"/>
      <c r="J11" s="1" t="n"/>
      <c r="K11" s="194" t="n"/>
      <c r="L11" s="194" t="n"/>
      <c r="M11" s="211" t="n"/>
      <c r="N11" s="209" t="n"/>
      <c r="O11" s="194" t="n"/>
      <c r="P11" s="194" t="n"/>
      <c r="Q11" s="194" t="n"/>
      <c r="R11" s="194" t="n"/>
      <c r="S11" s="211" t="n"/>
      <c r="T11" s="209" t="n"/>
      <c r="U11" s="194" t="n"/>
      <c r="V11" s="194" t="n"/>
      <c r="W11" s="194" t="n"/>
      <c r="X11" s="211" t="n"/>
      <c r="Y11" s="209" t="n"/>
      <c r="Z11" s="194" t="n"/>
      <c r="AA11" s="194" t="n"/>
      <c r="AB11" s="211" t="n"/>
      <c r="AC11" s="209" t="n"/>
      <c r="AD11" s="194" t="n"/>
      <c r="AE11" s="194" t="n"/>
      <c r="AF11" s="194" t="n"/>
      <c r="AG11" s="211" t="n"/>
      <c r="AH11" s="209" t="n"/>
      <c r="AI11" s="194" t="n"/>
      <c r="AJ11" s="194" t="n"/>
      <c r="AK11" s="211" t="n"/>
      <c r="AL11" s="209" t="n"/>
      <c r="AO11" t="inlineStr">
        <is>
          <t>Blocchi project</t>
        </is>
      </c>
    </row>
    <row r="12" hidden="1">
      <c r="A12" s="193">
        <f>A11+7</f>
        <v/>
      </c>
      <c r="B12" s="194" t="n"/>
      <c r="C12" s="194" t="n"/>
      <c r="D12" s="211" t="n"/>
      <c r="E12" s="209" t="n"/>
      <c r="F12" s="1" t="n"/>
      <c r="G12" s="194" t="n"/>
      <c r="H12" s="211" t="n"/>
      <c r="I12" s="209" t="n"/>
      <c r="J12" s="1" t="n"/>
      <c r="K12" s="194" t="n"/>
      <c r="L12" s="194" t="n"/>
      <c r="M12" s="211" t="n"/>
      <c r="N12" s="209" t="n"/>
      <c r="O12" s="194" t="n"/>
      <c r="P12" s="194" t="n"/>
      <c r="Q12" s="194" t="n"/>
      <c r="R12" s="194" t="n"/>
      <c r="S12" s="211" t="n"/>
      <c r="T12" s="209" t="n"/>
      <c r="U12" s="194" t="n"/>
      <c r="V12" s="194" t="n"/>
      <c r="W12" s="194" t="n"/>
      <c r="X12" s="211" t="n"/>
      <c r="Y12" s="209" t="n"/>
      <c r="Z12" s="194" t="n"/>
      <c r="AA12" s="194" t="n"/>
      <c r="AB12" s="211" t="n"/>
      <c r="AC12" s="209" t="n"/>
      <c r="AD12" s="194" t="n"/>
      <c r="AE12" s="194" t="n"/>
      <c r="AF12" s="194" t="n"/>
      <c r="AG12" s="211" t="n"/>
      <c r="AH12" s="209" t="n"/>
      <c r="AI12" s="194" t="n"/>
      <c r="AJ12" s="194" t="n"/>
      <c r="AK12" s="211" t="n"/>
      <c r="AL12" s="209" t="n"/>
      <c r="AO12" t="inlineStr">
        <is>
          <t>Vie</t>
        </is>
      </c>
    </row>
    <row r="13" hidden="1">
      <c r="A13" s="193">
        <f>A12+7</f>
        <v/>
      </c>
      <c r="B13" s="194" t="n"/>
      <c r="C13" s="194" t="n"/>
      <c r="D13" s="211" t="n"/>
      <c r="E13" s="209" t="n"/>
      <c r="F13" s="1" t="n"/>
      <c r="G13" s="194" t="n"/>
      <c r="H13" s="211" t="n"/>
      <c r="I13" s="209" t="n"/>
      <c r="J13" s="1" t="n"/>
      <c r="K13" s="194" t="n"/>
      <c r="L13" s="194" t="n"/>
      <c r="M13" s="211" t="n"/>
      <c r="N13" s="209" t="n"/>
      <c r="O13" s="194" t="n"/>
      <c r="P13" s="194" t="n"/>
      <c r="Q13" s="194" t="n"/>
      <c r="R13" s="194" t="n"/>
      <c r="S13" s="211" t="n"/>
      <c r="T13" s="209" t="n"/>
      <c r="U13" s="194" t="n"/>
      <c r="V13" s="194" t="n"/>
      <c r="W13" s="194" t="n"/>
      <c r="X13" s="211" t="n"/>
      <c r="Y13" s="209" t="n"/>
      <c r="Z13" s="194" t="n"/>
      <c r="AA13" s="194" t="n"/>
      <c r="AB13" s="211" t="n"/>
      <c r="AC13" s="209" t="n"/>
      <c r="AD13" s="194" t="n"/>
      <c r="AE13" s="194" t="n"/>
      <c r="AF13" s="194" t="n"/>
      <c r="AG13" s="211" t="n"/>
      <c r="AH13" s="209" t="n"/>
      <c r="AI13" s="194" t="n"/>
      <c r="AJ13" s="194" t="n"/>
      <c r="AK13" s="211" t="n"/>
      <c r="AL13" s="209" t="n"/>
      <c r="AO13" t="inlineStr">
        <is>
          <t>Vie Cluster</t>
        </is>
      </c>
    </row>
    <row r="14" hidden="1">
      <c r="A14" s="193">
        <f>A13+7</f>
        <v/>
      </c>
      <c r="B14" s="194" t="n"/>
      <c r="C14" s="194" t="n"/>
      <c r="D14" s="211" t="n"/>
      <c r="E14" s="209" t="n"/>
      <c r="F14" s="1" t="n"/>
      <c r="G14" s="194" t="n"/>
      <c r="H14" s="211" t="n"/>
      <c r="I14" s="209" t="n"/>
      <c r="J14" s="1" t="n"/>
      <c r="K14" s="194" t="n"/>
      <c r="L14" s="194" t="n"/>
      <c r="M14" s="211" t="n"/>
      <c r="N14" s="209" t="n"/>
      <c r="O14" s="194" t="n"/>
      <c r="P14" s="194" t="n"/>
      <c r="Q14" s="194" t="n"/>
      <c r="R14" s="194" t="n"/>
      <c r="S14" s="211" t="n"/>
      <c r="T14" s="209" t="n"/>
      <c r="U14" s="194" t="n"/>
      <c r="V14" s="194" t="n"/>
      <c r="W14" s="194" t="n"/>
      <c r="X14" s="211" t="n"/>
      <c r="Y14" s="209" t="n"/>
      <c r="Z14" s="194" t="n"/>
      <c r="AA14" s="194" t="n"/>
      <c r="AB14" s="211" t="n"/>
      <c r="AC14" s="209" t="n"/>
      <c r="AD14" s="194" t="n"/>
      <c r="AE14" s="194" t="n"/>
      <c r="AF14" s="194" t="n"/>
      <c r="AG14" s="211" t="n"/>
      <c r="AH14" s="209" t="n"/>
      <c r="AI14" s="194" t="n"/>
      <c r="AJ14" s="194" t="n"/>
      <c r="AK14" s="211" t="n"/>
      <c r="AL14" s="209" t="n"/>
      <c r="AO14" t="inlineStr">
        <is>
          <t>Aero</t>
        </is>
      </c>
    </row>
    <row r="15" hidden="1">
      <c r="A15" s="193">
        <f>A14+7</f>
        <v/>
      </c>
      <c r="B15" s="194" t="n"/>
      <c r="C15" s="194" t="n"/>
      <c r="D15" s="211" t="n"/>
      <c r="E15" s="209" t="n"/>
      <c r="F15" s="1" t="n"/>
      <c r="G15" s="194" t="n"/>
      <c r="H15" s="211" t="n"/>
      <c r="I15" s="209" t="n"/>
      <c r="J15" s="1" t="n"/>
      <c r="K15" s="194" t="n"/>
      <c r="L15" s="194" t="n"/>
      <c r="M15" s="211" t="n"/>
      <c r="N15" s="209" t="n"/>
      <c r="O15" s="194" t="n"/>
      <c r="P15" s="194" t="n"/>
      <c r="Q15" s="194" t="n"/>
      <c r="R15" s="194" t="n"/>
      <c r="S15" s="211" t="n"/>
      <c r="T15" s="209" t="n"/>
      <c r="U15" s="194" t="n"/>
      <c r="V15" s="194" t="n"/>
      <c r="W15" s="194" t="n"/>
      <c r="X15" s="211" t="n"/>
      <c r="Y15" s="209" t="n"/>
      <c r="Z15" s="194" t="n"/>
      <c r="AA15" s="194" t="n"/>
      <c r="AB15" s="211" t="n"/>
      <c r="AC15" s="209" t="n"/>
      <c r="AD15" s="194" t="n"/>
      <c r="AE15" s="194" t="n"/>
      <c r="AF15" s="194" t="n"/>
      <c r="AG15" s="211" t="n"/>
      <c r="AH15" s="209" t="n"/>
      <c r="AI15" s="194" t="n"/>
      <c r="AJ15" s="194" t="n"/>
      <c r="AK15" s="211" t="n"/>
      <c r="AL15" s="209" t="n"/>
    </row>
    <row r="16" hidden="1">
      <c r="A16" s="212">
        <f>A15+7</f>
        <v/>
      </c>
      <c r="B16" s="199" t="n"/>
      <c r="C16" s="199" t="n"/>
      <c r="D16" s="211" t="n"/>
      <c r="E16" s="209" t="n"/>
      <c r="F16" s="1" t="n"/>
      <c r="G16" s="194" t="n"/>
      <c r="H16" s="211" t="n"/>
      <c r="I16" s="209" t="n"/>
      <c r="J16" s="1" t="n"/>
      <c r="K16" s="194" t="n"/>
      <c r="L16" s="194" t="n"/>
      <c r="M16" s="211" t="n"/>
      <c r="N16" s="209" t="n"/>
      <c r="O16" s="194" t="n"/>
      <c r="P16" s="194" t="n"/>
      <c r="Q16" s="194" t="n"/>
      <c r="R16" s="194" t="n"/>
      <c r="S16" s="211" t="n"/>
      <c r="T16" s="209" t="n"/>
      <c r="U16" s="194" t="n"/>
      <c r="V16" s="194" t="n"/>
      <c r="W16" s="194" t="n"/>
      <c r="X16" s="211" t="n"/>
      <c r="Y16" s="209" t="n"/>
      <c r="Z16" s="194" t="n"/>
      <c r="AA16" s="194" t="n"/>
      <c r="AB16" s="211" t="n"/>
      <c r="AC16" s="209" t="n"/>
      <c r="AD16" s="194" t="n"/>
      <c r="AE16" s="194" t="n"/>
      <c r="AF16" s="194" t="n"/>
      <c r="AG16" s="211" t="n"/>
      <c r="AH16" s="209" t="n"/>
      <c r="AI16" s="194" t="n"/>
      <c r="AJ16" s="194" t="n"/>
      <c r="AK16" s="211" t="n"/>
      <c r="AL16" s="209" t="n"/>
    </row>
    <row r="17" ht="126" customHeight="1">
      <c r="B17" s="375">
        <f>VLOOKUP(B$3,$BF$20:$BG$39,2,FALSE)</f>
        <v/>
      </c>
      <c r="F17" s="375">
        <f>VLOOKUP(F$3,$BF$20:$BG$39,2,FALSE)</f>
        <v/>
      </c>
      <c r="J17" s="375">
        <f>VLOOKUP(J$3,$BF$20:$BG$39,2,FALSE)</f>
        <v/>
      </c>
      <c r="O17" s="375">
        <f>VLOOKUP(O$3,$BF$20:$BG$39,2,FALSE)</f>
        <v/>
      </c>
      <c r="U17" s="375">
        <f>VLOOKUP(U$3,$BF$20:$BG$39,2,FALSE)</f>
        <v/>
      </c>
      <c r="Z17" s="375">
        <f>VLOOKUP(Z$3,$BF$20:$BG$39,2,FALSE)</f>
        <v/>
      </c>
      <c r="AD17" s="375">
        <f>VLOOKUP(AD$3,$BF$20:$BG$39,2,FALSE)</f>
        <v/>
      </c>
      <c r="AI17" s="375">
        <f>VLOOKUP(AI$3,$BF$20:$BG$39,2,FALSE)</f>
        <v/>
      </c>
    </row>
    <row r="18" ht="23.25" customHeight="1"/>
    <row r="19">
      <c r="C19" s="376" t="inlineStr">
        <is>
          <t>SCALA RPE
Per valutazione intensità seduta</t>
        </is>
      </c>
      <c r="BF19" t="inlineStr">
        <is>
          <t>Tipologia</t>
        </is>
      </c>
      <c r="BG19" t="inlineStr">
        <is>
          <t>Descrizione</t>
        </is>
      </c>
    </row>
    <row r="20" ht="19.9" customHeight="1">
      <c r="BF20" t="inlineStr">
        <is>
          <t>Aero</t>
        </is>
      </c>
      <c r="BG20" t="inlineStr">
        <is>
          <t>Focus su resistenza aerobica. Sforzo massimo percepito RPE5. Rimango in parete eseguendo movimenti liberi per il tempo indicato "ON"; recupero in modo passivo "OFF" per il tempo indicato. Una serie è composta dal tempo attivo più quello passivo.</t>
        </is>
      </c>
    </row>
    <row r="21">
      <c r="BF21" t="inlineStr">
        <is>
          <t>Aero attivo</t>
        </is>
      </c>
      <c r="BG21"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c r="BF22" t="inlineStr">
        <is>
          <t>Aufbau</t>
        </is>
      </c>
      <c r="BG22" t="inlineStr">
        <is>
          <t>Esegui un circuito breve del numero di movimenti massimo indicato, esegui le ripetizioni indicate riducendo gradualmente il numero di movimenti fino a raggiungere il valore minimo del range.</t>
        </is>
      </c>
    </row>
    <row r="23">
      <c r="BF23" t="inlineStr">
        <is>
          <t>Blocchi flash - No fail</t>
        </is>
      </c>
      <c r="BG2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4">
      <c r="BF24" t="inlineStr">
        <is>
          <t>Blocchi flash.</t>
        </is>
      </c>
      <c r="BG24" t="inlineStr">
        <is>
          <t>Svolgere blocchi che si riescono a chiudere flash o in pochi tentativi (Max 4). Scegliere blocchi che siano di un grado più facili o dello stesso grado del grado che si ha flash.</t>
        </is>
      </c>
    </row>
    <row r="25">
      <c r="BF25" t="inlineStr">
        <is>
          <t>Blocchi lenti</t>
        </is>
      </c>
      <c r="BG25"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6">
      <c r="BF26" t="inlineStr">
        <is>
          <t>Blocchi project</t>
        </is>
      </c>
      <c r="BG26" t="inlineStr">
        <is>
          <t>Esegui dei blocchi di una difficoltà che ti obblighi a provare i singoli passaggi ed a concaternarli con grande difficoltà</t>
        </is>
      </c>
    </row>
    <row r="27">
      <c r="BF27" t="inlineStr">
        <is>
          <t>Blocchi ripetuti</t>
        </is>
      </c>
      <c r="BG27"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8" ht="22.15" customHeight="1">
      <c r="BF28" t="inlineStr">
        <is>
          <t>Blocchi tecnici</t>
        </is>
      </c>
      <c r="BG28" t="inlineStr">
        <is>
          <t>Esegui dei blocchi nei quali la "tenenza" non è un fattore determinante. Lavora quindi su placche, coordinativi complessi o anche boulder semplici ottimizzando i movimenti e le methode per chiuderli.</t>
        </is>
      </c>
    </row>
    <row r="29">
      <c r="BF29" t="inlineStr">
        <is>
          <t>Blocchi volume</t>
        </is>
      </c>
      <c r="BG29"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0">
      <c r="BF30" t="inlineStr">
        <is>
          <t>Blocchi Campus</t>
        </is>
      </c>
      <c r="BG30" t="inlineStr">
        <is>
          <t>Esegui dei blocchi del numero di movimenti indicati senza l'utilizzo dei piedi, cerca di raccordare al meglio i movimenti cercando di sfruttare l'inerzia del movimento precedente per eseguire il successivo.</t>
        </is>
      </c>
    </row>
    <row r="31">
      <c r="BF31" t="inlineStr">
        <is>
          <t>Circuiti</t>
        </is>
      </c>
      <c r="BG31"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2">
      <c r="BF32" t="inlineStr">
        <is>
          <t>Circuiti ripetuti</t>
        </is>
      </c>
      <c r="BG32"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3">
      <c r="BF33" t="inlineStr">
        <is>
          <t>Circuiti rest attivo</t>
        </is>
      </c>
      <c r="BG33"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4">
      <c r="BF34" t="inlineStr">
        <is>
          <t>Circuiti a tempo</t>
        </is>
      </c>
      <c r="BG34" t="inlineStr">
        <is>
          <t>Svolgi dei circuiti in cui l'obiettivo è raggiungere un determinato tempo di scalata senza limiti di movimenti, impara a gestire le sghisate, la posizione del corpo e la respirazione per riuscire sempre a raggiungere il tempo indicato.</t>
        </is>
      </c>
    </row>
    <row r="35">
      <c r="BF35" t="inlineStr">
        <is>
          <t>Vie flash</t>
        </is>
      </c>
      <c r="BG35" t="inlineStr">
        <is>
          <t>Scegli vie che riesci a chiudere flash, in questo caso non dovrai fallire durante i tentativi.</t>
        </is>
      </c>
    </row>
    <row r="36">
      <c r="BF36" t="inlineStr">
        <is>
          <t>Vie lavorate</t>
        </is>
      </c>
      <c r="BG36" t="inlineStr">
        <is>
          <t>Scegli vie al tuo limite, dopo il primo tentativo dividila in sezioni in modo da sovrapporre quante più sezioni possibili in base al tipo di via, al termine della sessione se riscirai a fare tutte le sezioni potrai fare un tentativo completo.</t>
        </is>
      </c>
    </row>
    <row r="37">
      <c r="BF37" t="inlineStr">
        <is>
          <t>Vie red point</t>
        </is>
      </c>
      <c r="BG37" t="inlineStr">
        <is>
          <t>Sceglie vie al tuo limite o leggermente più facili e cerca di raggiungere il punto più alto possibile, non dovrai riuscire a chiudere le vie ma potrai riprovarle all'interno della sessione.</t>
        </is>
      </c>
    </row>
    <row r="38">
      <c r="BF38" t="inlineStr">
        <is>
          <t>Vie Cluster</t>
        </is>
      </c>
      <c r="BG38"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9">
      <c r="BF39" t="inlineStr">
        <is>
          <t>Vie Ripetute</t>
        </is>
      </c>
      <c r="BG39" t="inlineStr">
        <is>
          <t>Scegli una via di 1-2 gradi sotto al tuo grado flash, esegui il numero di salite indicate recuperando tra una salita e la successiva il tempo indicato nel recupero fra le ripetizioni.</t>
        </is>
      </c>
    </row>
  </sheetData>
  <mergeCells count="25">
    <mergeCell ref="J17:N17"/>
    <mergeCell ref="AD3:AH3"/>
    <mergeCell ref="AD17:AH17"/>
    <mergeCell ref="AI3:AL3"/>
    <mergeCell ref="AI2:AL2"/>
    <mergeCell ref="U17:Y17"/>
    <mergeCell ref="U2:Y2"/>
    <mergeCell ref="AI17:AL17"/>
    <mergeCell ref="B3:E3"/>
    <mergeCell ref="O17:T17"/>
    <mergeCell ref="O2:T2"/>
    <mergeCell ref="F3:I3"/>
    <mergeCell ref="U3:Y3"/>
    <mergeCell ref="AD2:AH2"/>
    <mergeCell ref="B2:E2"/>
    <mergeCell ref="O3:T3"/>
    <mergeCell ref="C19:F20"/>
    <mergeCell ref="B17:E17"/>
    <mergeCell ref="J3:N3"/>
    <mergeCell ref="F17:I17"/>
    <mergeCell ref="Z3:AC3"/>
    <mergeCell ref="F2:I2"/>
    <mergeCell ref="J2:N2"/>
    <mergeCell ref="Z2:AC2"/>
    <mergeCell ref="Z17:AC17"/>
  </mergeCells>
  <dataValidations count="1">
    <dataValidation sqref="B3:AL3" showDropDown="0" showInputMessage="1" showErrorMessage="1" allowBlank="1" type="list">
      <formula1>$BF$20:$BF$39</formula1>
    </dataValidation>
  </dataValidations>
  <pageMargins left="0.7" right="0.7" top="0.75" bottom="0.75" header="0.3" footer="0.3"/>
  <pageSetup orientation="portrait" paperSize="9"/>
  <drawing xmlns:r="http://schemas.openxmlformats.org/officeDocument/2006/relationships" r:id="rId1"/>
  <tableParts count="8">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2026-04-16T10:15:15Z</dcterms:modified>
  <cp:lastModifiedBy>Samuele Malavasi</cp:lastModifiedBy>
</cp:coreProperties>
</file>